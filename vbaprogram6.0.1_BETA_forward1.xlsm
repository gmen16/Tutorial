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450" yWindow="30" windowWidth="16800" windowHeight="9915"/>
  </bookViews>
  <sheets>
    <sheet name="INPUTSHEET (solver)" sheetId="6" r:id="rId1"/>
    <sheet name="output" sheetId="2" r:id="rId2"/>
    <sheet name="Sheet3" sheetId="3" r:id="rId3"/>
    <sheet name="output (PROOF)" sheetId="5" r:id="rId4"/>
    <sheet name="velocity" sheetId="1" r:id="rId5"/>
    <sheet name="SCDATA" sheetId="7" r:id="rId6"/>
    <sheet name="figure" sheetId="8" r:id="rId7"/>
  </sheets>
  <definedNames>
    <definedName name="solver_adj" localSheetId="0" hidden="1">'INPUTSHEET (solver)'!$B$13,'INPUTSHEET (solver)'!$B$15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'INPUTSHEET (solver)'!$C$19</definedName>
    <definedName name="solver_lhs2" localSheetId="0" hidden="1">'INPUTSHEET (solver)'!$C$16</definedName>
    <definedName name="solver_lhs3" localSheetId="0" hidden="1">'INPUTSHEET (solver)'!$B$13</definedName>
    <definedName name="solver_lhs4" localSheetId="0" hidden="1">'INPUTSHEET (solver)'!$B$14</definedName>
    <definedName name="solver_lhs5" localSheetId="0" hidden="1">'INPUTSHEET (solver)'!$B$15</definedName>
    <definedName name="solver_lhs6" localSheetId="0" hidden="1">'INPUTSHEET (solver)'!$B$16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'INPUTSHEET (solver)'!$C$20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hs1" localSheetId="0" hidden="1">'INPUTSHEET (solver)'!$G$7</definedName>
    <definedName name="solver_rhs2" localSheetId="0" hidden="1">'INPUTSHEET (solver)'!$B$9</definedName>
    <definedName name="solver_rhs3" localSheetId="0" hidden="1">'INPUTSHEET (solver)'!$B$15*'INPUTSHEET (solver)'!$B$12</definedName>
    <definedName name="solver_rhs4" localSheetId="0" hidden="1">1</definedName>
    <definedName name="solver_rhs5" localSheetId="0" hidden="1">0.1</definedName>
    <definedName name="solver_rhs6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O8" i="2" l="1"/>
  <c r="J8" i="2" l="1"/>
  <c r="J10" i="2"/>
  <c r="K8" i="2"/>
  <c r="L11" i="2" s="1"/>
  <c r="M11" i="2"/>
  <c r="N11" i="2" l="1"/>
  <c r="G6" i="6"/>
  <c r="H6" i="6" s="1"/>
  <c r="E7" i="6"/>
  <c r="G7" i="6" s="1"/>
  <c r="E8" i="6"/>
  <c r="E13" i="6"/>
  <c r="E15" i="6"/>
  <c r="C16" i="6"/>
  <c r="C27" i="6"/>
  <c r="A33" i="6"/>
  <c r="H8" i="6" l="1"/>
  <c r="C21" i="6" s="1"/>
  <c r="B5" i="1"/>
  <c r="E11" i="6"/>
  <c r="F13" i="6" s="1"/>
  <c r="F14" i="6" s="1"/>
  <c r="C28" i="6"/>
  <c r="G10" i="6" l="1"/>
  <c r="H10" i="6"/>
  <c r="F15" i="6"/>
  <c r="H15" i="6" s="1"/>
  <c r="C19" i="5"/>
  <c r="E19" i="5" s="1"/>
  <c r="C18" i="5"/>
  <c r="C17" i="5"/>
  <c r="C16" i="5"/>
  <c r="C15" i="5"/>
  <c r="E15" i="5" s="1"/>
  <c r="C14" i="5"/>
  <c r="C13" i="5"/>
  <c r="C20" i="5"/>
  <c r="C21" i="5"/>
  <c r="E21" i="5" s="1"/>
  <c r="J2" i="5"/>
  <c r="E7" i="5" s="1"/>
  <c r="D12" i="5"/>
  <c r="C12" i="5" s="1"/>
  <c r="H11" i="5"/>
  <c r="I11" i="5" s="1"/>
  <c r="M11" i="5" s="1"/>
  <c r="C23" i="6" l="1"/>
  <c r="E12" i="5"/>
  <c r="C19" i="6"/>
  <c r="D19" i="6" s="1"/>
  <c r="H16" i="6"/>
  <c r="B3" i="1"/>
  <c r="H11" i="6"/>
  <c r="G11" i="6"/>
  <c r="E4" i="5"/>
  <c r="C17" i="6"/>
  <c r="E8" i="5"/>
  <c r="E14" i="5"/>
  <c r="E18" i="5"/>
  <c r="F16" i="6"/>
  <c r="E20" i="5"/>
  <c r="E16" i="5"/>
  <c r="E13" i="5"/>
  <c r="E17" i="5"/>
  <c r="E5" i="5"/>
  <c r="E9" i="5"/>
  <c r="E2" i="5"/>
  <c r="E6" i="5"/>
  <c r="E3" i="5"/>
  <c r="C24" i="6" l="1"/>
  <c r="C25" i="6" s="1"/>
  <c r="C26" i="6" s="1"/>
  <c r="C20" i="6"/>
  <c r="C22" i="6" s="1"/>
  <c r="B18" i="1"/>
  <c r="C18" i="1" s="1"/>
  <c r="B16" i="1"/>
  <c r="C16" i="1" s="1"/>
  <c r="B11" i="1"/>
  <c r="C11" i="1" s="1"/>
  <c r="B20" i="1"/>
  <c r="C20" i="1" s="1"/>
  <c r="B15" i="1"/>
  <c r="C15" i="1" s="1"/>
  <c r="B19" i="1"/>
  <c r="C19" i="1" s="1"/>
  <c r="B13" i="1"/>
  <c r="C13" i="1" s="1"/>
  <c r="B17" i="1"/>
  <c r="C17" i="1" s="1"/>
  <c r="B12" i="1"/>
  <c r="C12" i="1" s="1"/>
  <c r="B14" i="1"/>
  <c r="C14" i="1" s="1"/>
  <c r="B10" i="1"/>
  <c r="C10" i="1" s="1"/>
  <c r="D11" i="1" s="1"/>
  <c r="F12" i="5"/>
  <c r="F9" i="5"/>
  <c r="D15" i="1" l="1"/>
  <c r="G30" i="6" s="1"/>
  <c r="D20" i="6"/>
  <c r="D18" i="1"/>
  <c r="E18" i="1" s="1"/>
  <c r="D14" i="1"/>
  <c r="E14" i="1" s="1"/>
  <c r="D12" i="1"/>
  <c r="F30" i="6" s="1"/>
  <c r="E30" i="6"/>
  <c r="E11" i="1"/>
  <c r="E29" i="6" s="1"/>
  <c r="D20" i="1"/>
  <c r="D17" i="1"/>
  <c r="E17" i="1" s="1"/>
  <c r="D13" i="1"/>
  <c r="E13" i="1" s="1"/>
  <c r="D16" i="1"/>
  <c r="E16" i="1" s="1"/>
  <c r="D19" i="1"/>
  <c r="E19" i="1" s="1"/>
  <c r="E15" i="1" l="1"/>
  <c r="G29" i="6" s="1"/>
  <c r="C29" i="6"/>
  <c r="E12" i="1"/>
  <c r="F29" i="6" s="1"/>
  <c r="H30" i="6"/>
  <c r="E20" i="1"/>
  <c r="H29" i="6" s="1"/>
</calcChain>
</file>

<file path=xl/sharedStrings.xml><?xml version="1.0" encoding="utf-8"?>
<sst xmlns="http://schemas.openxmlformats.org/spreadsheetml/2006/main" count="114" uniqueCount="101">
  <si>
    <t>Parameter</t>
  </si>
  <si>
    <t>Input</t>
  </si>
  <si>
    <t>Output</t>
  </si>
  <si>
    <t>Calcs</t>
  </si>
  <si>
    <t>Assumptions</t>
  </si>
  <si>
    <t>Well name</t>
  </si>
  <si>
    <t>Averaged purge rate (liters/min)</t>
  </si>
  <si>
    <t>Gpm</t>
  </si>
  <si>
    <t>cf/m</t>
  </si>
  <si>
    <t>Assume .01 head grad. if drawdown = 0</t>
  </si>
  <si>
    <t>Well diameter (inches)</t>
  </si>
  <si>
    <t>r-ft</t>
  </si>
  <si>
    <t>area</t>
  </si>
  <si>
    <t>Length (Ls) of screen (ft)</t>
  </si>
  <si>
    <t>ft/m</t>
  </si>
  <si>
    <t>Drawdown (s)  (ft)</t>
  </si>
  <si>
    <t>=if b7 .eq. 0, then G7, ELSE H7</t>
  </si>
  <si>
    <t>Anticipated or actual  purging time (mins); observed from previous stabilization data</t>
  </si>
  <si>
    <t>=LN(10/rw)</t>
  </si>
  <si>
    <t>Highest (HHK) potential Hyd. cond (ft/d)-solver</t>
  </si>
  <si>
    <t>Radial flow eqn. HIGH K</t>
  </si>
  <si>
    <t>Thickness (bh)of high K zone (ft)</t>
  </si>
  <si>
    <t>l/m</t>
  </si>
  <si>
    <t>Lowest (LHK) potential Hyd. cond (ft/d)-solver</t>
  </si>
  <si>
    <t>Thickness (bl) of low K zone (ft): bh+bl = Ls</t>
  </si>
  <si>
    <t>Assume minimum b = screen length - high k b ft</t>
  </si>
  <si>
    <t>Can vertical flow in well occur from purging based on estimated radial flow? (0=NO;1=YES)</t>
  </si>
  <si>
    <t>"Calc from 2*unit radial flow eqn</t>
  </si>
  <si>
    <t>IF NO, AND NO DRAWDOWN, WORKSHEET NOT APPLICABLE</t>
  </si>
  <si>
    <t>If drawdown&gt; 0 and vertical flow =no, recalculate radial flow and skip below</t>
  </si>
  <si>
    <t>Minimum potential equilibrium purge rate(cf/m); if drawdown observed, this number should be less than the purge rate</t>
  </si>
  <si>
    <t>L/min</t>
  </si>
  <si>
    <t>Cumulative radial flow from high and low k zones = PURGE RATE</t>
  </si>
  <si>
    <t>Difference between estimated radial flow - purge rate (cf/m); should be a positive number if s =0</t>
  </si>
  <si>
    <t>Does calculated  radial flow &gt; purge rate; if drawdown &gt; 0 then recalculate; for unsteady flow and drawdown, this number should be  at least equal to the casing volume /time (rate of well depletion); for equilibrium flow you can set this to zero</t>
  </si>
  <si>
    <t>Observed volume from wellbore storage(cf)</t>
  </si>
  <si>
    <t>Drawdown * area of well</t>
  </si>
  <si>
    <t>Potential volume from wellbore storage based on estimated radial flow (cf)</t>
  </si>
  <si>
    <t>=(#REF!*$O$4)/(3.14*POWER(($C10/2),2))</t>
  </si>
  <si>
    <t>Potential maximum purge time(min)</t>
  </si>
  <si>
    <t>=IF($C$13=0,"NA",(B6/2)*(1/C20))</t>
  </si>
  <si>
    <t>Recommended maximum purge time (min); higher of anticipated or potential</t>
  </si>
  <si>
    <t>=IF((B8&gt;C19),B8,C19)</t>
  </si>
  <si>
    <t>password = lowflow</t>
  </si>
  <si>
    <t>P.T. Harte</t>
  </si>
  <si>
    <t>T of well screen</t>
  </si>
  <si>
    <t>T=TL+TH'</t>
  </si>
  <si>
    <t>Average k of well screen</t>
  </si>
  <si>
    <t>X</t>
  </si>
  <si>
    <t>Q</t>
  </si>
  <si>
    <t xml:space="preserve">HFLOW </t>
  </si>
  <si>
    <t>UPPER VFLOW</t>
  </si>
  <si>
    <t>LOWER VFLOW</t>
  </si>
  <si>
    <t>TOTAL VFLOW</t>
  </si>
  <si>
    <t>DIFF</t>
  </si>
  <si>
    <t>AREA</t>
  </si>
  <si>
    <t>TIME, MIN</t>
  </si>
  <si>
    <t>SUM TIME</t>
  </si>
  <si>
    <t>If PUMP RATE &gt; HFLOW BY MIDPT (2 FT THICK BASED ON LOW K UNIT)</t>
  </si>
  <si>
    <t>Assume pump intake at midpoint of screen; divide max. by 1/2 to account for flows from top to bottom</t>
  </si>
  <si>
    <t>This is adjusted vertical velocity - drawdown - horizontal flow at pump intake</t>
  </si>
  <si>
    <t>Piston flow velocities, ACCOU NTS FOR WELL BORE STORAGE ONLY</t>
  </si>
  <si>
    <t>Piston flow velocities, ACCOU NTS FOR HFLOW BY PUMP INTAKE</t>
  </si>
  <si>
    <t>Adjusted maximum vertical wellbore velocity (feet/min) with well storage and adj. for hflow</t>
  </si>
  <si>
    <t>Maximum vertical wellbore velocity (feet/min) with well storage w/o hflow</t>
  </si>
  <si>
    <t>This is maximum vertical velocity - drawdown (well storage)</t>
  </si>
  <si>
    <t>This is the transmissivity of the well screen (summation of low t and high t zones)</t>
  </si>
  <si>
    <t>This is the average K of the well screen (cumulative T of well screen divided by well screen length)</t>
  </si>
  <si>
    <t>t=well screen</t>
  </si>
  <si>
    <t>Length of dry section; adj length of screen</t>
  </si>
  <si>
    <t>=$b$5-$b$6</t>
  </si>
  <si>
    <t>Depth to top of screen (DTS) in ft below ref (no data put 0)</t>
  </si>
  <si>
    <t>Depth to water (DTW) in ft below ref (No data put 0)</t>
  </si>
  <si>
    <t>Date</t>
  </si>
  <si>
    <t>VFLOW</t>
  </si>
  <si>
    <t>HFLOW</t>
  </si>
  <si>
    <t>TOTAL</t>
  </si>
  <si>
    <t>EMBEDDED</t>
  </si>
  <si>
    <t>Heterogeneity factor (HF) (x:1 where x = KH, 1 = KL)</t>
  </si>
  <si>
    <t>TIME</t>
  </si>
  <si>
    <t>SC</t>
  </si>
  <si>
    <t>MIN</t>
  </si>
  <si>
    <t>UMHOS/CM</t>
  </si>
  <si>
    <t>Qw=</t>
  </si>
  <si>
    <t>Qw/2*pi*l=q*r</t>
  </si>
  <si>
    <t>r from well</t>
  </si>
  <si>
    <t>q</t>
  </si>
  <si>
    <t>q/n</t>
  </si>
  <si>
    <t>velocity</t>
  </si>
  <si>
    <t>n=</t>
  </si>
  <si>
    <t>Lateral flow radius by pump intake (likely maxim um)</t>
  </si>
  <si>
    <t>Assumes n = .25</t>
  </si>
  <si>
    <t>Velocity calculations</t>
  </si>
  <si>
    <t>rw=</t>
  </si>
  <si>
    <t>midpt</t>
  </si>
  <si>
    <t>ft/min</t>
  </si>
  <si>
    <t>recripocal</t>
  </si>
  <si>
    <t>min</t>
  </si>
  <si>
    <t>1,2,5,10 raddii</t>
  </si>
  <si>
    <t>Calc RADIAL flow  for 2 ft around intake</t>
  </si>
  <si>
    <r>
      <t>W</t>
    </r>
    <r>
      <rPr>
        <b/>
        <sz val="12"/>
        <color theme="1"/>
        <rFont val="Calibri"/>
        <family val="2"/>
        <scheme val="minor"/>
      </rPr>
      <t>ORKSHEET FOR ESTIMATION OF LOW FLOW PURGE TIMES FOR WELLS SCREENED IN HETEROGENEOUS AQUIFERS(vBA.6.0.1_BETA)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</si>
</sst>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3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8"/>
      <color theme="4" tint="-0.249977111117893"/>
      <name val="Arial"/>
      <family val="2"/>
    </font>
    <font>
      <b/>
      <sz val="16"/>
      <color theme="4" tint="-0.249977111117893"/>
      <name val="Arial"/>
      <family val="2"/>
    </font>
    <font>
      <b/>
      <sz val="16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5" fillId="0" borderId="1" xfId="0" applyFont="1" applyBorder="1" applyProtection="1">
      <protection locked="0"/>
    </xf>
    <xf numFmtId="0" fontId="6" fillId="0" borderId="1" xfId="0" applyFont="1" applyBorder="1" applyProtection="1">
      <protection locked="0"/>
    </xf>
    <xf numFmtId="0" fontId="6" fillId="0" borderId="0" xfId="0" applyFont="1" applyProtection="1">
      <protection locked="0"/>
    </xf>
    <xf numFmtId="0" fontId="4" fillId="0" borderId="2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4" fillId="2" borderId="0" xfId="0" applyFont="1" applyFill="1" applyProtection="1">
      <protection locked="0"/>
    </xf>
    <xf numFmtId="0" fontId="7" fillId="0" borderId="4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8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9" fillId="0" borderId="7" xfId="0" applyFont="1" applyBorder="1" applyProtection="1"/>
    <xf numFmtId="0" fontId="10" fillId="0" borderId="8" xfId="0" applyFont="1" applyBorder="1" applyProtection="1"/>
    <xf numFmtId="0" fontId="5" fillId="0" borderId="7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9" fillId="0" borderId="11" xfId="0" applyFont="1" applyBorder="1" applyProtection="1"/>
    <xf numFmtId="0" fontId="10" fillId="0" borderId="0" xfId="0" applyFont="1" applyBorder="1" applyProtection="1"/>
    <xf numFmtId="0" fontId="11" fillId="0" borderId="6" xfId="0" applyFont="1" applyBorder="1" applyProtection="1"/>
    <xf numFmtId="0" fontId="11" fillId="0" borderId="0" xfId="0" applyFont="1" applyBorder="1" applyProtection="1"/>
    <xf numFmtId="0" fontId="5" fillId="0" borderId="11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12" fillId="0" borderId="2" xfId="0" applyFont="1" applyBorder="1" applyProtection="1"/>
    <xf numFmtId="0" fontId="10" fillId="0" borderId="6" xfId="0" applyFont="1" applyBorder="1" applyProtection="1"/>
    <xf numFmtId="0" fontId="2" fillId="0" borderId="0" xfId="0" applyFont="1" applyProtection="1">
      <protection locked="0"/>
    </xf>
    <xf numFmtId="0" fontId="9" fillId="0" borderId="11" xfId="0" quotePrefix="1" applyFont="1" applyBorder="1" applyProtection="1"/>
    <xf numFmtId="0" fontId="13" fillId="0" borderId="3" xfId="0" applyFont="1" applyBorder="1" applyProtection="1"/>
    <xf numFmtId="0" fontId="5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0" fillId="0" borderId="0" xfId="0" quotePrefix="1" applyFont="1" applyBorder="1" applyProtection="1"/>
    <xf numFmtId="0" fontId="13" fillId="0" borderId="0" xfId="0" applyFont="1" applyBorder="1" applyProtection="1"/>
    <xf numFmtId="0" fontId="1" fillId="0" borderId="0" xfId="0" applyFont="1" applyProtection="1">
      <protection locked="0"/>
    </xf>
    <xf numFmtId="0" fontId="9" fillId="0" borderId="6" xfId="0" applyFont="1" applyBorder="1" applyProtection="1"/>
    <xf numFmtId="0" fontId="14" fillId="0" borderId="4" xfId="0" applyFont="1" applyBorder="1" applyProtection="1"/>
    <xf numFmtId="0" fontId="10" fillId="0" borderId="2" xfId="0" applyFont="1" applyBorder="1" applyProtection="1"/>
    <xf numFmtId="0" fontId="9" fillId="0" borderId="13" xfId="0" applyFont="1" applyBorder="1" applyProtection="1"/>
    <xf numFmtId="0" fontId="3" fillId="2" borderId="0" xfId="0" applyFont="1" applyFill="1" applyProtection="1">
      <protection locked="0"/>
    </xf>
    <xf numFmtId="0" fontId="1" fillId="0" borderId="12" xfId="0" applyFon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8" fillId="2" borderId="0" xfId="0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9" fillId="0" borderId="6" xfId="0" applyFont="1" applyFill="1" applyBorder="1" applyProtection="1"/>
    <xf numFmtId="0" fontId="14" fillId="0" borderId="4" xfId="0" applyFont="1" applyFill="1" applyBorder="1" applyProtection="1"/>
    <xf numFmtId="0" fontId="10" fillId="0" borderId="2" xfId="0" applyFont="1" applyFill="1" applyBorder="1" applyProtection="1"/>
    <xf numFmtId="0" fontId="11" fillId="0" borderId="3" xfId="0" applyFont="1" applyFill="1" applyBorder="1" applyProtection="1"/>
    <xf numFmtId="0" fontId="5" fillId="0" borderId="0" xfId="0" quotePrefix="1" applyFont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12" xfId="0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8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0" fillId="0" borderId="1" xfId="0" applyFont="1" applyBorder="1" applyProtection="1"/>
    <xf numFmtId="0" fontId="5" fillId="0" borderId="14" xfId="0" applyFont="1" applyBorder="1" applyProtection="1">
      <protection locked="0"/>
    </xf>
    <xf numFmtId="0" fontId="2" fillId="0" borderId="9" xfId="0" applyFont="1" applyBorder="1" applyAlignment="1" applyProtection="1">
      <alignment wrapText="1"/>
      <protection locked="0"/>
    </xf>
    <xf numFmtId="0" fontId="9" fillId="0" borderId="15" xfId="0" applyFont="1" applyBorder="1" applyProtection="1"/>
    <xf numFmtId="0" fontId="10" fillId="0" borderId="14" xfId="0" applyFont="1" applyBorder="1" applyProtection="1"/>
    <xf numFmtId="0" fontId="15" fillId="0" borderId="0" xfId="0" applyFont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0" fontId="9" fillId="0" borderId="15" xfId="0" applyFont="1" applyFill="1" applyBorder="1" applyAlignment="1" applyProtection="1"/>
    <xf numFmtId="0" fontId="10" fillId="0" borderId="1" xfId="0" applyFont="1" applyFill="1" applyBorder="1" applyAlignment="1" applyProtection="1"/>
    <xf numFmtId="0" fontId="10" fillId="0" borderId="14" xfId="0" applyFont="1" applyFill="1" applyBorder="1" applyAlignment="1" applyProtection="1"/>
    <xf numFmtId="0" fontId="5" fillId="0" borderId="0" xfId="0" applyFont="1" applyFill="1" applyBorder="1" applyAlignment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16" fillId="2" borderId="15" xfId="0" applyFont="1" applyFill="1" applyBorder="1" applyProtection="1"/>
    <xf numFmtId="0" fontId="10" fillId="0" borderId="5" xfId="0" applyFont="1" applyBorder="1" applyProtection="1"/>
    <xf numFmtId="0" fontId="9" fillId="0" borderId="4" xfId="0" applyFont="1" applyBorder="1" applyProtection="1"/>
    <xf numFmtId="0" fontId="9" fillId="0" borderId="4" xfId="0" quotePrefix="1" applyFont="1" applyBorder="1" applyProtection="1"/>
    <xf numFmtId="0" fontId="17" fillId="0" borderId="0" xfId="0" applyFont="1" applyProtection="1">
      <protection locked="0"/>
    </xf>
    <xf numFmtId="0" fontId="17" fillId="0" borderId="0" xfId="0" applyFont="1" applyBorder="1" applyProtection="1">
      <protection locked="0"/>
    </xf>
    <xf numFmtId="0" fontId="18" fillId="0" borderId="0" xfId="0" quotePrefix="1" applyFont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17" fillId="0" borderId="1" xfId="0" applyFont="1" applyBorder="1" applyProtection="1">
      <protection locked="0"/>
    </xf>
    <xf numFmtId="0" fontId="18" fillId="0" borderId="1" xfId="0" quotePrefix="1" applyFont="1" applyBorder="1" applyProtection="1">
      <protection locked="0"/>
    </xf>
    <xf numFmtId="0" fontId="19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2" fillId="0" borderId="0" xfId="0" applyFont="1"/>
    <xf numFmtId="0" fontId="20" fillId="0" borderId="0" xfId="0" applyFont="1" applyProtection="1">
      <protection locked="0"/>
    </xf>
    <xf numFmtId="0" fontId="20" fillId="2" borderId="0" xfId="0" applyFont="1" applyFill="1" applyProtection="1">
      <protection locked="0"/>
    </xf>
    <xf numFmtId="0" fontId="21" fillId="0" borderId="4" xfId="0" quotePrefix="1" applyFont="1" applyBorder="1" applyProtection="1"/>
    <xf numFmtId="0" fontId="21" fillId="0" borderId="1" xfId="0" applyFont="1" applyBorder="1" applyProtection="1"/>
    <xf numFmtId="0" fontId="20" fillId="0" borderId="1" xfId="0" applyFont="1" applyBorder="1" applyProtection="1">
      <protection locked="0"/>
    </xf>
    <xf numFmtId="0" fontId="20" fillId="2" borderId="1" xfId="0" applyFont="1" applyFill="1" applyBorder="1" applyProtection="1">
      <protection locked="0"/>
    </xf>
    <xf numFmtId="0" fontId="23" fillId="0" borderId="3" xfId="0" quotePrefix="1" applyFont="1" applyBorder="1" applyProtection="1"/>
    <xf numFmtId="0" fontId="22" fillId="0" borderId="2" xfId="0" applyFont="1" applyFill="1" applyBorder="1" applyAlignment="1" applyProtection="1">
      <alignment wrapText="1"/>
      <protection locked="0"/>
    </xf>
    <xf numFmtId="0" fontId="20" fillId="2" borderId="5" xfId="0" applyFont="1" applyFill="1" applyBorder="1" applyProtection="1">
      <protection locked="0"/>
    </xf>
    <xf numFmtId="0" fontId="23" fillId="0" borderId="5" xfId="0" quotePrefix="1" applyFont="1" applyBorder="1" applyProtection="1"/>
    <xf numFmtId="0" fontId="20" fillId="0" borderId="5" xfId="0" applyFont="1" applyBorder="1" applyProtection="1"/>
    <xf numFmtId="0" fontId="20" fillId="0" borderId="2" xfId="0" applyFont="1" applyBorder="1" applyProtection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12" xfId="0" applyFill="1" applyBorder="1"/>
    <xf numFmtId="0" fontId="24" fillId="0" borderId="0" xfId="0" applyFont="1" applyFill="1" applyProtection="1">
      <protection locked="0"/>
    </xf>
    <xf numFmtId="0" fontId="25" fillId="0" borderId="0" xfId="0" applyFont="1" applyFill="1" applyProtection="1"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5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27" fillId="0" borderId="4" xfId="0" applyFont="1" applyBorder="1" applyProtection="1"/>
    <xf numFmtId="0" fontId="28" fillId="0" borderId="1" xfId="0" applyFont="1" applyFill="1" applyBorder="1" applyProtection="1"/>
    <xf numFmtId="0" fontId="28" fillId="0" borderId="1" xfId="0" applyFont="1" applyFill="1" applyBorder="1" applyAlignment="1" applyProtection="1">
      <protection locked="0"/>
    </xf>
    <xf numFmtId="0" fontId="28" fillId="0" borderId="5" xfId="0" applyFont="1" applyFill="1" applyBorder="1" applyProtection="1"/>
    <xf numFmtId="164" fontId="29" fillId="0" borderId="0" xfId="0" quotePrefix="1" applyNumberFormat="1" applyFont="1" applyProtection="1"/>
    <xf numFmtId="164" fontId="30" fillId="0" borderId="0" xfId="0" quotePrefix="1" applyNumberFormat="1" applyFont="1" applyProtection="1"/>
    <xf numFmtId="0" fontId="31" fillId="0" borderId="3" xfId="0" quotePrefix="1" applyFont="1" applyBorder="1" applyProtection="1"/>
    <xf numFmtId="0" fontId="31" fillId="0" borderId="5" xfId="0" quotePrefix="1" applyFont="1" applyBorder="1" applyProtection="1"/>
    <xf numFmtId="0" fontId="8" fillId="0" borderId="6" xfId="0" applyFont="1" applyBorder="1" applyProtection="1">
      <protection locked="0"/>
    </xf>
    <xf numFmtId="14" fontId="8" fillId="0" borderId="10" xfId="0" applyNumberFormat="1" applyFont="1" applyBorder="1" applyProtection="1">
      <protection locked="0"/>
    </xf>
    <xf numFmtId="0" fontId="8" fillId="0" borderId="10" xfId="0" applyFont="1" applyBorder="1" applyProtection="1">
      <protection locked="0"/>
    </xf>
    <xf numFmtId="0" fontId="8" fillId="2" borderId="10" xfId="0" applyFont="1" applyFill="1" applyBorder="1" applyProtection="1">
      <protection locked="0"/>
    </xf>
    <xf numFmtId="0" fontId="1" fillId="0" borderId="1" xfId="0" applyFont="1" applyBorder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12" xfId="0" applyBorder="1" applyAlignment="1">
      <alignment wrapText="1"/>
    </xf>
    <xf numFmtId="0" fontId="5" fillId="0" borderId="11" xfId="0" applyFont="1" applyBorder="1" applyAlignment="1" applyProtection="1">
      <alignment horizontal="left" wrapText="1"/>
      <protection locked="0"/>
    </xf>
    <xf numFmtId="0" fontId="0" fillId="0" borderId="0" xfId="0" applyAlignment="1">
      <alignment horizontal="left" wrapText="1"/>
    </xf>
    <xf numFmtId="0" fontId="0" fillId="0" borderId="12" xfId="0" applyBorder="1" applyAlignment="1">
      <alignment horizontal="left" wrapText="1"/>
    </xf>
    <xf numFmtId="0" fontId="5" fillId="0" borderId="11" xfId="0" applyFont="1" applyBorder="1" applyAlignment="1" applyProtection="1">
      <alignment wrapText="1"/>
      <protection locked="0"/>
    </xf>
    <xf numFmtId="0" fontId="5" fillId="0" borderId="0" xfId="0" applyFont="1" applyAlignment="1">
      <alignment wrapText="1"/>
    </xf>
    <xf numFmtId="0" fontId="5" fillId="0" borderId="12" xfId="0" applyFont="1" applyBorder="1" applyAlignment="1">
      <alignment wrapText="1"/>
    </xf>
    <xf numFmtId="0" fontId="26" fillId="0" borderId="8" xfId="0" applyFont="1" applyBorder="1" applyAlignment="1" applyProtection="1">
      <alignment wrapText="1"/>
      <protection locked="0"/>
    </xf>
    <xf numFmtId="0" fontId="8" fillId="0" borderId="8" xfId="0" applyFont="1" applyBorder="1" applyAlignment="1">
      <alignment wrapText="1"/>
    </xf>
    <xf numFmtId="0" fontId="8" fillId="0" borderId="9" xfId="0" applyFont="1" applyBorder="1" applyAlignment="1">
      <alignment wrapText="1"/>
    </xf>
    <xf numFmtId="0" fontId="26" fillId="0" borderId="1" xfId="0" applyFont="1" applyBorder="1" applyAlignment="1" applyProtection="1">
      <alignment wrapText="1"/>
      <protection locked="0"/>
    </xf>
    <xf numFmtId="0" fontId="8" fillId="0" borderId="1" xfId="0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5" fillId="0" borderId="15" xfId="0" applyFont="1" applyBorder="1" applyAlignment="1" applyProtection="1">
      <alignment wrapText="1"/>
      <protection locked="0"/>
    </xf>
    <xf numFmtId="0" fontId="0" fillId="0" borderId="1" xfId="0" applyBorder="1" applyAlignment="1">
      <alignment wrapText="1"/>
    </xf>
    <xf numFmtId="0" fontId="0" fillId="0" borderId="14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output!$C$1:$C$20</c:f>
              <c:numCache>
                <c:formatCode>General</c:formatCode>
                <c:ptCount val="20"/>
                <c:pt idx="0">
                  <c:v>1.0611304727951784E-3</c:v>
                </c:pt>
                <c:pt idx="1">
                  <c:v>2.1222609455903568E-3</c:v>
                </c:pt>
                <c:pt idx="2">
                  <c:v>3.1833914183855352E-3</c:v>
                </c:pt>
                <c:pt idx="3">
                  <c:v>4.2445218911807137E-3</c:v>
                </c:pt>
                <c:pt idx="5">
                  <c:v>5.3056523639758912E-3</c:v>
                </c:pt>
                <c:pt idx="6">
                  <c:v>4.2445218911807128E-3</c:v>
                </c:pt>
                <c:pt idx="7">
                  <c:v>3.1833914183855344E-3</c:v>
                </c:pt>
                <c:pt idx="8">
                  <c:v>2.1222609455903564E-3</c:v>
                </c:pt>
                <c:pt idx="9">
                  <c:v>1.0611304727951782E-3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50400"/>
        <c:axId val="156959488"/>
      </c:scatterChart>
      <c:valAx>
        <c:axId val="15615040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Verrtical flow rate, cf/min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959488"/>
        <c:crosses val="autoZero"/>
        <c:crossBetween val="midCat"/>
      </c:valAx>
      <c:valAx>
        <c:axId val="15695948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 i="0" baseline="0">
                    <a:effectLst/>
                  </a:rPr>
                  <a:t>Screen position below top of screen, ft</a:t>
                </a:r>
                <a:endParaRPr lang="en-US" sz="8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8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150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output!$B$1:$B$20</c:f>
              <c:numCache>
                <c:formatCode>General</c:formatCode>
                <c:ptCount val="20"/>
                <c:pt idx="0">
                  <c:v>1.0611304727951784E-3</c:v>
                </c:pt>
                <c:pt idx="1">
                  <c:v>1.0611304727951782E-3</c:v>
                </c:pt>
                <c:pt idx="2">
                  <c:v>1.0611304727951782E-3</c:v>
                </c:pt>
                <c:pt idx="3">
                  <c:v>1.0611304727951782E-3</c:v>
                </c:pt>
                <c:pt idx="4">
                  <c:v>1.0611304727951782E-3</c:v>
                </c:pt>
                <c:pt idx="5">
                  <c:v>1.0611304727951782E-3</c:v>
                </c:pt>
                <c:pt idx="6">
                  <c:v>1.0611304727951782E-3</c:v>
                </c:pt>
                <c:pt idx="7">
                  <c:v>1.0611304727951782E-3</c:v>
                </c:pt>
                <c:pt idx="8">
                  <c:v>1.0611304727951782E-3</c:v>
                </c:pt>
                <c:pt idx="9">
                  <c:v>1.0611304727951782E-3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92640"/>
        <c:axId val="156994560"/>
      </c:scatterChart>
      <c:valAx>
        <c:axId val="15699264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inflow, cf/min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994560"/>
        <c:crosses val="autoZero"/>
        <c:crossBetween val="midCat"/>
      </c:valAx>
      <c:valAx>
        <c:axId val="15699456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992640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4.0569335083114576E-2"/>
          <c:y val="0.28253098571011981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output!$D$1:$D$20</c:f>
              <c:numCache>
                <c:formatCode>General</c:formatCode>
                <c:ptCount val="20"/>
                <c:pt idx="0">
                  <c:v>10.274681631805567</c:v>
                </c:pt>
                <c:pt idx="1">
                  <c:v>10.274681631805567</c:v>
                </c:pt>
                <c:pt idx="2">
                  <c:v>6.8497877545370445</c:v>
                </c:pt>
                <c:pt idx="3">
                  <c:v>5.1373408159027836</c:v>
                </c:pt>
                <c:pt idx="5">
                  <c:v>4.1098726527222276</c:v>
                </c:pt>
                <c:pt idx="6">
                  <c:v>5.1373408159027845</c:v>
                </c:pt>
                <c:pt idx="7">
                  <c:v>6.8497877545370471</c:v>
                </c:pt>
                <c:pt idx="8">
                  <c:v>10.274681631805569</c:v>
                </c:pt>
                <c:pt idx="9">
                  <c:v>10.274681631805569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19520"/>
        <c:axId val="157021312"/>
      </c:scatterChart>
      <c:valAx>
        <c:axId val="157019520"/>
        <c:scaling>
          <c:orientation val="maxMin"/>
        </c:scaling>
        <c:delete val="0"/>
        <c:axPos val="t"/>
        <c:numFmt formatCode="General" sourceLinked="1"/>
        <c:majorTickMark val="out"/>
        <c:minorTickMark val="none"/>
        <c:tickLblPos val="nextTo"/>
        <c:crossAx val="157021312"/>
        <c:crosses val="autoZero"/>
        <c:crossBetween val="midCat"/>
      </c:valAx>
      <c:valAx>
        <c:axId val="157021312"/>
        <c:scaling>
          <c:orientation val="maxMin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5701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PUMP_TIME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output!$F$1:$F$10</c:f>
              <c:numCache>
                <c:formatCode>General</c:formatCode>
                <c:ptCount val="10"/>
                <c:pt idx="0">
                  <c:v>22.261810202245396</c:v>
                </c:pt>
                <c:pt idx="1">
                  <c:v>11.987128570439829</c:v>
                </c:pt>
                <c:pt idx="2">
                  <c:v>5.1373408159027854</c:v>
                </c:pt>
                <c:pt idx="3">
                  <c:v>0</c:v>
                </c:pt>
                <c:pt idx="5">
                  <c:v>0</c:v>
                </c:pt>
                <c:pt idx="6">
                  <c:v>4.109872652722224</c:v>
                </c:pt>
                <c:pt idx="7">
                  <c:v>9.2472134686250094</c:v>
                </c:pt>
                <c:pt idx="8">
                  <c:v>16.097001223162057</c:v>
                </c:pt>
                <c:pt idx="9">
                  <c:v>26.371682854967624</c:v>
                </c:pt>
              </c:numCache>
            </c:numRef>
          </c:xVal>
          <c:yVal>
            <c:numRef>
              <c:f>output!$A$1:$A$10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xVal>
            <c:numRef>
              <c:f>output!$F$10:$F$20</c:f>
              <c:numCache>
                <c:formatCode>General</c:formatCode>
                <c:ptCount val="11"/>
                <c:pt idx="0">
                  <c:v>26.371682854967624</c:v>
                </c:pt>
              </c:numCache>
            </c:numRef>
          </c:xVal>
          <c:yVal>
            <c:numRef>
              <c:f>output!$A$10:$A$20</c:f>
              <c:numCache>
                <c:formatCode>General</c:formatCode>
                <c:ptCount val="11"/>
                <c:pt idx="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67680"/>
        <c:axId val="157410816"/>
      </c:scatterChart>
      <c:valAx>
        <c:axId val="157367680"/>
        <c:scaling>
          <c:orientation val="minMax"/>
          <c:max val="1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Travel time in minutes to pump intake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410816"/>
        <c:crosses val="autoZero"/>
        <c:crossBetween val="midCat"/>
        <c:majorUnit val="10"/>
      </c:valAx>
      <c:valAx>
        <c:axId val="15741081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367680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AQUIFER</a:t>
            </a:r>
            <a:r>
              <a:rPr lang="en-US" baseline="0"/>
              <a:t> </a:t>
            </a:r>
            <a:r>
              <a:rPr lang="en-US"/>
              <a:t>FRACTION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610013065414754"/>
          <c:y val="0.15518758414214293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FRACTION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output!$G$1:$G$83</c:f>
              <c:numCache>
                <c:formatCode>General</c:formatCode>
                <c:ptCount val="8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xVal>
          <c:yVal>
            <c:numRef>
              <c:f>output!$I$1:$I$83</c:f>
              <c:numCache>
                <c:formatCode>General</c:formatCode>
                <c:ptCount val="83"/>
                <c:pt idx="0">
                  <c:v>0.29999999999999993</c:v>
                </c:pt>
                <c:pt idx="1">
                  <c:v>0.59999999999999987</c:v>
                </c:pt>
                <c:pt idx="2">
                  <c:v>0.79999999999999982</c:v>
                </c:pt>
                <c:pt idx="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91968"/>
        <c:axId val="157493888"/>
      </c:scatterChart>
      <c:valAx>
        <c:axId val="157491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Time, in 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493888"/>
        <c:crosses val="autoZero"/>
        <c:crossBetween val="midCat"/>
      </c:valAx>
      <c:valAx>
        <c:axId val="157493888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 of pumped water </a:t>
                </a:r>
                <a:r>
                  <a:rPr lang="en-US" sz="1200"/>
                  <a:t>from</a:t>
                </a:r>
                <a:r>
                  <a:rPr lang="en-US"/>
                  <a:t> aquifer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491968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FIELD-SC PLOT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610013065414754"/>
          <c:y val="0.15518758414214293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SC</c:v>
          </c:tx>
          <c:spPr>
            <a:ln w="28575">
              <a:solidFill>
                <a:schemeClr val="accent1"/>
              </a:solidFill>
            </a:ln>
          </c:spPr>
          <c:xVal>
            <c:numRef>
              <c:f>SCDATA!$A$4:$A$11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SCDATA!$B$4:$B$11</c:f>
              <c:numCache>
                <c:formatCode>General</c:formatCode>
                <c:ptCount val="8"/>
                <c:pt idx="0">
                  <c:v>315</c:v>
                </c:pt>
                <c:pt idx="1">
                  <c:v>259</c:v>
                </c:pt>
                <c:pt idx="2">
                  <c:v>218</c:v>
                </c:pt>
                <c:pt idx="3">
                  <c:v>211</c:v>
                </c:pt>
                <c:pt idx="4">
                  <c:v>209</c:v>
                </c:pt>
                <c:pt idx="5">
                  <c:v>210</c:v>
                </c:pt>
                <c:pt idx="6">
                  <c:v>212</c:v>
                </c:pt>
                <c:pt idx="7">
                  <c:v>212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18848"/>
        <c:axId val="157521024"/>
      </c:scatterChart>
      <c:valAx>
        <c:axId val="15751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Time, in 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521024"/>
        <c:crosses val="autoZero"/>
        <c:crossBetween val="midCat"/>
      </c:valAx>
      <c:valAx>
        <c:axId val="157521024"/>
        <c:scaling>
          <c:orientation val="minMax"/>
          <c:max val="400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SPECIFIC CONDUCTANCE DURING PURGING, UMHOS/CM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518848"/>
        <c:crosses val="autoZero"/>
        <c:crossBetween val="midCat"/>
        <c:majorUnit val="50"/>
        <c:minorUnit val="10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velocity</c:v>
          </c:tx>
          <c:spPr>
            <a:ln w="28575">
              <a:noFill/>
            </a:ln>
          </c:spPr>
          <c:xVal>
            <c:numRef>
              <c:f>velocity!$A$11:$A$20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velocity!$C$11:$C$20</c:f>
              <c:numCache>
                <c:formatCode>General</c:formatCode>
                <c:ptCount val="10"/>
                <c:pt idx="0">
                  <c:v>3.4812940809338187E-2</c:v>
                </c:pt>
                <c:pt idx="1">
                  <c:v>1.7406470404669094E-2</c:v>
                </c:pt>
                <c:pt idx="2">
                  <c:v>1.160431360311273E-2</c:v>
                </c:pt>
                <c:pt idx="3">
                  <c:v>8.7032352023345468E-3</c:v>
                </c:pt>
                <c:pt idx="4">
                  <c:v>6.9625881618676369E-3</c:v>
                </c:pt>
                <c:pt idx="5">
                  <c:v>5.8021568015563648E-3</c:v>
                </c:pt>
                <c:pt idx="6">
                  <c:v>4.9732772584768839E-3</c:v>
                </c:pt>
                <c:pt idx="7">
                  <c:v>4.3516176011672734E-3</c:v>
                </c:pt>
                <c:pt idx="8">
                  <c:v>3.8681045343709093E-3</c:v>
                </c:pt>
                <c:pt idx="9">
                  <c:v>3.4812940809338185E-3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25152"/>
        <c:axId val="157565312"/>
      </c:scatterChart>
      <c:valAx>
        <c:axId val="156625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Radius,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565312"/>
        <c:crosses val="autoZero"/>
        <c:crossBetween val="midCat"/>
      </c:valAx>
      <c:valAx>
        <c:axId val="1575653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Velocity, ft/min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625152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Minutes</c:v>
          </c:tx>
          <c:spPr>
            <a:ln w="28575">
              <a:noFill/>
            </a:ln>
          </c:spPr>
          <c:xVal>
            <c:numRef>
              <c:f>velocity!$E$11:$E$20</c:f>
              <c:numCache>
                <c:formatCode>General</c:formatCode>
                <c:ptCount val="10"/>
                <c:pt idx="0">
                  <c:v>4.419223147183426</c:v>
                </c:pt>
                <c:pt idx="1">
                  <c:v>38.299933942256366</c:v>
                </c:pt>
                <c:pt idx="2">
                  <c:v>68.939881096061455</c:v>
                </c:pt>
                <c:pt idx="3">
                  <c:v>98.485544422944926</c:v>
                </c:pt>
                <c:pt idx="4">
                  <c:v>127.66644647418788</c:v>
                </c:pt>
                <c:pt idx="5">
                  <c:v>156.68154794559422</c:v>
                </c:pt>
                <c:pt idx="6">
                  <c:v>185.60737218170388</c:v>
                </c:pt>
                <c:pt idx="7">
                  <c:v>214.4796300766356</c:v>
                </c:pt>
                <c:pt idx="8">
                  <c:v>243.31722739786395</c:v>
                </c:pt>
                <c:pt idx="9">
                  <c:v>272.13110958971629</c:v>
                </c:pt>
              </c:numCache>
            </c:numRef>
          </c:xVal>
          <c:yVal>
            <c:numRef>
              <c:f>velocity!$A$11:$A$20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01792"/>
        <c:axId val="157603712"/>
      </c:scatterChart>
      <c:valAx>
        <c:axId val="157601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603712"/>
        <c:crosses val="autoZero"/>
        <c:crossBetween val="midCat"/>
      </c:valAx>
      <c:valAx>
        <c:axId val="1576037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Radius,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601792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output!$B$1:$B$20</c:f>
              <c:numCache>
                <c:formatCode>General</c:formatCode>
                <c:ptCount val="20"/>
                <c:pt idx="0">
                  <c:v>1.0611304727951784E-3</c:v>
                </c:pt>
                <c:pt idx="1">
                  <c:v>1.0611304727951782E-3</c:v>
                </c:pt>
                <c:pt idx="2">
                  <c:v>1.0611304727951782E-3</c:v>
                </c:pt>
                <c:pt idx="3">
                  <c:v>1.0611304727951782E-3</c:v>
                </c:pt>
                <c:pt idx="4">
                  <c:v>1.0611304727951782E-3</c:v>
                </c:pt>
                <c:pt idx="5">
                  <c:v>1.0611304727951782E-3</c:v>
                </c:pt>
                <c:pt idx="6">
                  <c:v>1.0611304727951782E-3</c:v>
                </c:pt>
                <c:pt idx="7">
                  <c:v>1.0611304727951782E-3</c:v>
                </c:pt>
                <c:pt idx="8">
                  <c:v>1.0611304727951782E-3</c:v>
                </c:pt>
                <c:pt idx="9">
                  <c:v>1.0611304727951782E-3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13344"/>
        <c:axId val="156715264"/>
      </c:scatterChart>
      <c:valAx>
        <c:axId val="15671334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inflow, cf/min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715264"/>
        <c:crosses val="autoZero"/>
        <c:crossBetween val="midCat"/>
      </c:valAx>
      <c:valAx>
        <c:axId val="15671526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713344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PUMP_TIME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output!$F$1:$F$10</c:f>
              <c:numCache>
                <c:formatCode>General</c:formatCode>
                <c:ptCount val="10"/>
                <c:pt idx="0">
                  <c:v>22.261810202245396</c:v>
                </c:pt>
                <c:pt idx="1">
                  <c:v>11.987128570439829</c:v>
                </c:pt>
                <c:pt idx="2">
                  <c:v>5.1373408159027854</c:v>
                </c:pt>
                <c:pt idx="3">
                  <c:v>0</c:v>
                </c:pt>
                <c:pt idx="5">
                  <c:v>0</c:v>
                </c:pt>
                <c:pt idx="6">
                  <c:v>4.109872652722224</c:v>
                </c:pt>
                <c:pt idx="7">
                  <c:v>9.2472134686250094</c:v>
                </c:pt>
                <c:pt idx="8">
                  <c:v>16.097001223162057</c:v>
                </c:pt>
                <c:pt idx="9">
                  <c:v>26.371682854967624</c:v>
                </c:pt>
              </c:numCache>
            </c:numRef>
          </c:xVal>
          <c:yVal>
            <c:numRef>
              <c:f>output!$A$1:$A$10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xVal>
            <c:numRef>
              <c:f>output!$F$10:$F$20</c:f>
              <c:numCache>
                <c:formatCode>General</c:formatCode>
                <c:ptCount val="11"/>
                <c:pt idx="0">
                  <c:v>26.371682854967624</c:v>
                </c:pt>
              </c:numCache>
            </c:numRef>
          </c:xVal>
          <c:yVal>
            <c:numRef>
              <c:f>output!$A$10:$A$20</c:f>
              <c:numCache>
                <c:formatCode>General</c:formatCode>
                <c:ptCount val="11"/>
                <c:pt idx="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28704"/>
        <c:axId val="156747264"/>
      </c:scatterChart>
      <c:valAx>
        <c:axId val="156728704"/>
        <c:scaling>
          <c:orientation val="minMax"/>
          <c:max val="3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Travel time in minutes to pump intake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747264"/>
        <c:crosses val="autoZero"/>
        <c:crossBetween val="midCat"/>
        <c:majorUnit val="50"/>
      </c:valAx>
      <c:valAx>
        <c:axId val="15674726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728704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AQUIFER</a:t>
            </a:r>
            <a:r>
              <a:rPr lang="en-US" baseline="0"/>
              <a:t> </a:t>
            </a:r>
            <a:r>
              <a:rPr lang="en-US"/>
              <a:t>FRACTION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610013065414754"/>
          <c:y val="0.15518758414214298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FRACTION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output!$G$1:$G$83</c:f>
              <c:numCache>
                <c:formatCode>General</c:formatCode>
                <c:ptCount val="8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xVal>
          <c:yVal>
            <c:numRef>
              <c:f>output!$I$1:$I$83</c:f>
              <c:numCache>
                <c:formatCode>General</c:formatCode>
                <c:ptCount val="83"/>
                <c:pt idx="0">
                  <c:v>0.29999999999999993</c:v>
                </c:pt>
                <c:pt idx="1">
                  <c:v>0.59999999999999987</c:v>
                </c:pt>
                <c:pt idx="2">
                  <c:v>0.79999999999999982</c:v>
                </c:pt>
                <c:pt idx="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52256"/>
        <c:axId val="157954432"/>
      </c:scatterChart>
      <c:valAx>
        <c:axId val="15795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Time, in 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54432"/>
        <c:crosses val="autoZero"/>
        <c:crossBetween val="midCat"/>
      </c:valAx>
      <c:valAx>
        <c:axId val="157954432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 of pumped water </a:t>
                </a:r>
                <a:r>
                  <a:rPr lang="en-US" sz="1200"/>
                  <a:t>from</a:t>
                </a:r>
                <a:r>
                  <a:rPr lang="en-US"/>
                  <a:t> aquifer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5225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323850</xdr:colOff>
      <xdr:row>13</xdr:row>
      <xdr:rowOff>19050</xdr:rowOff>
    </xdr:from>
    <xdr:to>
      <xdr:col>19</xdr:col>
      <xdr:colOff>19050</xdr:colOff>
      <xdr:row>27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247650</xdr:colOff>
      <xdr:row>28</xdr:row>
      <xdr:rowOff>114299</xdr:rowOff>
    </xdr:from>
    <xdr:to>
      <xdr:col>18</xdr:col>
      <xdr:colOff>552450</xdr:colOff>
      <xdr:row>46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190500</xdr:colOff>
      <xdr:row>47</xdr:row>
      <xdr:rowOff>38100</xdr:rowOff>
    </xdr:from>
    <xdr:to>
      <xdr:col>18</xdr:col>
      <xdr:colOff>495300</xdr:colOff>
      <xdr:row>61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62</xdr:row>
      <xdr:rowOff>171449</xdr:rowOff>
    </xdr:from>
    <xdr:to>
      <xdr:col>18</xdr:col>
      <xdr:colOff>447675</xdr:colOff>
      <xdr:row>83</xdr:row>
      <xdr:rowOff>104774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176493</xdr:colOff>
      <xdr:row>87</xdr:row>
      <xdr:rowOff>136151</xdr:rowOff>
    </xdr:from>
    <xdr:to>
      <xdr:col>18</xdr:col>
      <xdr:colOff>481293</xdr:colOff>
      <xdr:row>105</xdr:row>
      <xdr:rowOff>84044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109</xdr:row>
      <xdr:rowOff>0</xdr:rowOff>
    </xdr:from>
    <xdr:to>
      <xdr:col>18</xdr:col>
      <xdr:colOff>304800</xdr:colOff>
      <xdr:row>126</xdr:row>
      <xdr:rowOff>143996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2</xdr:row>
      <xdr:rowOff>114300</xdr:rowOff>
    </xdr:from>
    <xdr:to>
      <xdr:col>14</xdr:col>
      <xdr:colOff>76200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400050</xdr:colOff>
      <xdr:row>19</xdr:row>
      <xdr:rowOff>133350</xdr:rowOff>
    </xdr:from>
    <xdr:to>
      <xdr:col>14</xdr:col>
      <xdr:colOff>95250</xdr:colOff>
      <xdr:row>35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571500</xdr:colOff>
      <xdr:row>26</xdr:row>
      <xdr:rowOff>171450</xdr:rowOff>
    </xdr:from>
    <xdr:to>
      <xdr:col>10</xdr:col>
      <xdr:colOff>571501</xdr:colOff>
      <xdr:row>32</xdr:row>
      <xdr:rowOff>1</xdr:rowOff>
    </xdr:to>
    <xdr:cxnSp macro="">
      <xdr:nvCxnSpPr>
        <xdr:cNvPr id="5" name="Straight Connector 4"/>
        <xdr:cNvCxnSpPr/>
      </xdr:nvCxnSpPr>
      <xdr:spPr>
        <a:xfrm flipH="1" flipV="1">
          <a:off x="6667500" y="5124450"/>
          <a:ext cx="1" cy="9715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26</xdr:row>
      <xdr:rowOff>76201</xdr:rowOff>
    </xdr:from>
    <xdr:to>
      <xdr:col>10</xdr:col>
      <xdr:colOff>447675</xdr:colOff>
      <xdr:row>26</xdr:row>
      <xdr:rowOff>104775</xdr:rowOff>
    </xdr:to>
    <xdr:cxnSp macro="">
      <xdr:nvCxnSpPr>
        <xdr:cNvPr id="7" name="Straight Connector 6"/>
        <xdr:cNvCxnSpPr/>
      </xdr:nvCxnSpPr>
      <xdr:spPr>
        <a:xfrm flipV="1">
          <a:off x="4638675" y="5029201"/>
          <a:ext cx="1905000" cy="285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0.59583</cdr:x>
      <cdr:y>0.55844</cdr:y>
    </cdr:from>
    <cdr:to>
      <cdr:x>0.93333</cdr:x>
      <cdr:y>0.69156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4150" y="1638300"/>
          <a:ext cx="15430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1 day of pumping, 6.5 ft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351865</xdr:colOff>
      <xdr:row>17</xdr:row>
      <xdr:rowOff>177054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7</xdr:col>
      <xdr:colOff>351865</xdr:colOff>
      <xdr:row>40</xdr:row>
      <xdr:rowOff>50987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7</xdr:col>
      <xdr:colOff>351865</xdr:colOff>
      <xdr:row>59</xdr:row>
      <xdr:rowOff>48746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O35"/>
  <sheetViews>
    <sheetView tabSelected="1" zoomScale="53" zoomScaleNormal="53" workbookViewId="0">
      <selection activeCell="P10" sqref="P10"/>
    </sheetView>
  </sheetViews>
  <sheetFormatPr defaultRowHeight="15" x14ac:dyDescent="0.25"/>
  <cols>
    <col min="1" max="1" width="52.7109375" style="14" customWidth="1"/>
    <col min="2" max="2" width="16.7109375" style="14" customWidth="1"/>
    <col min="3" max="3" width="14.42578125" style="14" customWidth="1"/>
    <col min="4" max="4" width="9.140625" style="14"/>
    <col min="5" max="5" width="10.5703125" style="34" customWidth="1"/>
    <col min="6" max="7" width="9.140625" style="5"/>
    <col min="8" max="8" width="10.42578125" style="5" bestFit="1" customWidth="1"/>
    <col min="9" max="11" width="9.140625" style="34"/>
    <col min="12" max="13" width="9.140625" style="27"/>
    <col min="14" max="15" width="9.140625" style="34"/>
    <col min="16" max="16384" width="9.140625" style="14"/>
  </cols>
  <sheetData>
    <row r="1" spans="1:15" ht="54" customHeight="1" x14ac:dyDescent="0.25">
      <c r="A1" s="1" t="s">
        <v>100</v>
      </c>
      <c r="B1" s="2"/>
      <c r="C1" s="2"/>
      <c r="D1" s="2"/>
      <c r="E1" s="3"/>
      <c r="F1" s="4"/>
      <c r="G1" s="4"/>
      <c r="H1" s="4"/>
      <c r="I1" s="3"/>
      <c r="J1" s="3"/>
      <c r="K1" s="3"/>
      <c r="L1" s="3"/>
      <c r="M1" s="3"/>
    </row>
    <row r="2" spans="1:15" s="7" customFormat="1" ht="15.75" x14ac:dyDescent="0.25">
      <c r="A2" s="6" t="s">
        <v>0</v>
      </c>
      <c r="B2" s="7" t="s">
        <v>1</v>
      </c>
      <c r="C2" s="8" t="s">
        <v>2</v>
      </c>
      <c r="D2" s="9"/>
      <c r="E2" s="10" t="s">
        <v>3</v>
      </c>
      <c r="F2" s="11"/>
      <c r="G2" s="11"/>
      <c r="H2" s="6"/>
      <c r="I2" s="10" t="s">
        <v>4</v>
      </c>
      <c r="J2" s="12"/>
      <c r="K2" s="12"/>
      <c r="L2" s="12"/>
      <c r="M2" s="13"/>
      <c r="N2" s="106"/>
      <c r="O2" s="106"/>
    </row>
    <row r="3" spans="1:15" x14ac:dyDescent="0.25">
      <c r="A3" s="14" t="s">
        <v>5</v>
      </c>
      <c r="B3" s="117"/>
      <c r="C3" s="15"/>
      <c r="D3" s="16"/>
      <c r="E3" s="17"/>
      <c r="F3" s="18"/>
      <c r="G3" s="18"/>
      <c r="H3" s="18"/>
      <c r="I3" s="19"/>
      <c r="J3" s="20"/>
      <c r="K3" s="20"/>
      <c r="L3" s="20"/>
      <c r="M3" s="21"/>
    </row>
    <row r="4" spans="1:15" x14ac:dyDescent="0.25">
      <c r="A4" s="14" t="s">
        <v>73</v>
      </c>
      <c r="B4" s="118">
        <v>41992</v>
      </c>
      <c r="C4" s="15"/>
      <c r="D4" s="16"/>
      <c r="E4" s="22"/>
      <c r="F4" s="23"/>
      <c r="G4" s="18"/>
      <c r="H4" s="23"/>
      <c r="I4" s="26"/>
      <c r="J4" s="27"/>
      <c r="K4" s="27"/>
      <c r="M4" s="28"/>
    </row>
    <row r="5" spans="1:15" x14ac:dyDescent="0.25">
      <c r="A5" s="14" t="s">
        <v>72</v>
      </c>
      <c r="B5" s="119">
        <v>30.75</v>
      </c>
      <c r="C5" s="15"/>
      <c r="D5" s="16"/>
      <c r="E5" s="22"/>
      <c r="F5" s="23"/>
      <c r="G5" s="18"/>
      <c r="H5" s="23"/>
      <c r="I5" s="26"/>
      <c r="J5" s="27"/>
      <c r="K5" s="27"/>
      <c r="M5" s="28"/>
    </row>
    <row r="6" spans="1:15" x14ac:dyDescent="0.25">
      <c r="A6" s="14" t="s">
        <v>71</v>
      </c>
      <c r="B6" s="119">
        <v>57</v>
      </c>
      <c r="C6" s="15"/>
      <c r="D6" s="16"/>
      <c r="E6" s="32" t="s">
        <v>70</v>
      </c>
      <c r="F6" s="23"/>
      <c r="G6" s="32">
        <f>IF($B$5-$B$6&lt;0,0,$B$5-$B$6)</f>
        <v>0</v>
      </c>
      <c r="H6" s="23">
        <f>IF($G$6&gt;0,$B$9-$G$6,$B$9)</f>
        <v>10</v>
      </c>
      <c r="I6" s="26" t="s">
        <v>69</v>
      </c>
      <c r="J6" s="27"/>
      <c r="K6" s="27"/>
      <c r="M6" s="28"/>
    </row>
    <row r="7" spans="1:15" x14ac:dyDescent="0.25">
      <c r="A7" s="14" t="s">
        <v>6</v>
      </c>
      <c r="B7" s="119">
        <v>0.1</v>
      </c>
      <c r="C7" s="15"/>
      <c r="D7" s="16"/>
      <c r="E7" s="22">
        <f>B7/3.78</f>
        <v>2.6455026455026457E-2</v>
      </c>
      <c r="F7" s="23" t="s">
        <v>7</v>
      </c>
      <c r="G7" s="24">
        <f>E7/7.48</f>
        <v>3.5367682426505958E-3</v>
      </c>
      <c r="H7" s="25" t="s">
        <v>8</v>
      </c>
      <c r="I7" s="26" t="s">
        <v>9</v>
      </c>
      <c r="J7" s="27"/>
      <c r="K7" s="27"/>
      <c r="M7" s="28"/>
    </row>
    <row r="8" spans="1:15" x14ac:dyDescent="0.25">
      <c r="A8" s="14" t="s">
        <v>10</v>
      </c>
      <c r="B8" s="119">
        <v>2</v>
      </c>
      <c r="C8" s="15"/>
      <c r="D8" s="16"/>
      <c r="E8" s="22">
        <f>B8/2/12</f>
        <v>8.3333333333333329E-2</v>
      </c>
      <c r="F8" s="23" t="s">
        <v>11</v>
      </c>
      <c r="G8" s="109" t="s">
        <v>12</v>
      </c>
      <c r="H8" s="29">
        <f>3.14*(POWER(E8,2))</f>
        <v>2.1805555555555554E-2</v>
      </c>
      <c r="I8" s="26"/>
      <c r="J8" s="27"/>
      <c r="K8" s="27"/>
      <c r="M8" s="28"/>
    </row>
    <row r="9" spans="1:15" x14ac:dyDescent="0.25">
      <c r="A9" s="14" t="s">
        <v>13</v>
      </c>
      <c r="B9" s="119">
        <v>10</v>
      </c>
      <c r="C9" s="15"/>
      <c r="D9" s="16"/>
      <c r="E9" s="22"/>
      <c r="F9" s="23"/>
      <c r="G9" s="30" t="s">
        <v>14</v>
      </c>
      <c r="H9" s="30" t="s">
        <v>14</v>
      </c>
      <c r="I9" s="26"/>
      <c r="J9" s="27"/>
      <c r="K9" s="27"/>
      <c r="M9" s="28"/>
    </row>
    <row r="10" spans="1:15" ht="23.25" customHeight="1" x14ac:dyDescent="0.25">
      <c r="A10" s="31" t="s">
        <v>15</v>
      </c>
      <c r="B10" s="119">
        <v>0.1</v>
      </c>
      <c r="C10" s="15"/>
      <c r="D10" s="16"/>
      <c r="E10" s="32" t="s">
        <v>16</v>
      </c>
      <c r="F10" s="23"/>
      <c r="G10" s="33">
        <f>$G$7/$H$8</f>
        <v>0.16219574106423115</v>
      </c>
      <c r="H10" s="33">
        <f>($G$7/$H$8)-((B10*$H$8)/B11)</f>
        <v>0.16214122717534227</v>
      </c>
      <c r="I10" s="125" t="s">
        <v>61</v>
      </c>
      <c r="J10" s="126"/>
      <c r="K10" s="126"/>
      <c r="L10" s="126"/>
      <c r="M10" s="127"/>
    </row>
    <row r="11" spans="1:15" ht="35.25" customHeight="1" x14ac:dyDescent="0.25">
      <c r="A11" s="35" t="s">
        <v>17</v>
      </c>
      <c r="B11" s="119">
        <v>40</v>
      </c>
      <c r="C11" s="15"/>
      <c r="D11" s="16"/>
      <c r="E11" s="32">
        <f>LN(10/$E$8)</f>
        <v>4.7874917427820458</v>
      </c>
      <c r="F11" s="36" t="s">
        <v>18</v>
      </c>
      <c r="G11" s="37">
        <f>$G$10-$H$15</f>
        <v>0.15126447765009896</v>
      </c>
      <c r="H11" s="37">
        <f>$H$10-$H$15</f>
        <v>0.15120996376121007</v>
      </c>
      <c r="I11" s="122" t="s">
        <v>62</v>
      </c>
      <c r="J11" s="123"/>
      <c r="K11" s="123"/>
      <c r="L11" s="123"/>
      <c r="M11" s="124"/>
    </row>
    <row r="12" spans="1:15" ht="35.25" customHeight="1" x14ac:dyDescent="0.25">
      <c r="A12" s="35" t="s">
        <v>78</v>
      </c>
      <c r="B12" s="119">
        <v>1</v>
      </c>
      <c r="C12" s="15"/>
      <c r="D12" s="16"/>
      <c r="E12" s="32"/>
      <c r="F12" s="36"/>
      <c r="G12" s="37"/>
      <c r="H12" s="37"/>
      <c r="J12" s="27"/>
      <c r="K12" s="27"/>
      <c r="M12" s="28"/>
    </row>
    <row r="13" spans="1:15" ht="32.25" customHeight="1" x14ac:dyDescent="0.25">
      <c r="A13" s="15" t="s">
        <v>19</v>
      </c>
      <c r="B13" s="120">
        <v>0</v>
      </c>
      <c r="C13" s="15"/>
      <c r="D13" s="16"/>
      <c r="E13" s="39">
        <f>B13/1440</f>
        <v>0</v>
      </c>
      <c r="F13" s="40">
        <f>(2*$E$13*3.14*$B$14*(IF($B$10=0,0.01,$B$10)))/$E$11</f>
        <v>0</v>
      </c>
      <c r="G13" s="41" t="s">
        <v>8</v>
      </c>
      <c r="H13" s="23"/>
      <c r="I13" s="26" t="s">
        <v>20</v>
      </c>
      <c r="J13" s="27"/>
      <c r="K13" s="27"/>
      <c r="M13" s="28"/>
    </row>
    <row r="14" spans="1:15" x14ac:dyDescent="0.25">
      <c r="A14" s="16" t="s">
        <v>21</v>
      </c>
      <c r="B14" s="120">
        <v>0</v>
      </c>
      <c r="C14" s="15"/>
      <c r="D14" s="16"/>
      <c r="E14" s="42" t="s">
        <v>14</v>
      </c>
      <c r="F14" s="43">
        <f>F13*(1/0.0353146662127)</f>
        <v>0</v>
      </c>
      <c r="G14" s="23" t="s">
        <v>22</v>
      </c>
      <c r="H14" s="23"/>
      <c r="I14" s="26"/>
      <c r="J14" s="27"/>
      <c r="K14" s="27"/>
      <c r="M14" s="28"/>
    </row>
    <row r="15" spans="1:15" ht="33" customHeight="1" x14ac:dyDescent="0.25">
      <c r="A15" s="44" t="s">
        <v>23</v>
      </c>
      <c r="B15" s="45">
        <v>60</v>
      </c>
      <c r="C15" s="46"/>
      <c r="D15" s="47"/>
      <c r="E15" s="48">
        <f>B15/1440</f>
        <v>4.1666666666666664E-2</v>
      </c>
      <c r="F15" s="49">
        <f>(2*$E$15*3.14*($B$16-$G$6)*(IF($B$10=0,0.01,$B$10)))/$E$11</f>
        <v>1.093126341413219E-2</v>
      </c>
      <c r="G15" s="50" t="s">
        <v>8</v>
      </c>
      <c r="H15" s="51">
        <f>2*($F$15/$B$16)</f>
        <v>1.093126341413219E-2</v>
      </c>
      <c r="I15" s="52" t="s">
        <v>99</v>
      </c>
      <c r="J15" s="53"/>
      <c r="K15" s="53"/>
      <c r="L15" s="53"/>
      <c r="M15" s="54"/>
    </row>
    <row r="16" spans="1:15" x14ac:dyDescent="0.25">
      <c r="A16" s="55" t="s">
        <v>24</v>
      </c>
      <c r="B16" s="121">
        <v>2</v>
      </c>
      <c r="C16" s="56">
        <f>$B$16+$B$14</f>
        <v>2</v>
      </c>
      <c r="D16" s="57"/>
      <c r="E16" s="42" t="s">
        <v>14</v>
      </c>
      <c r="F16" s="43">
        <f>F15*(1/0.0353146662127)</f>
        <v>0.30953891361433983</v>
      </c>
      <c r="G16" s="58" t="s">
        <v>22</v>
      </c>
      <c r="H16" s="43">
        <f>H15*(1/0.0353146662127)</f>
        <v>0.30953891361433983</v>
      </c>
      <c r="I16" s="53" t="s">
        <v>25</v>
      </c>
      <c r="J16" s="3"/>
      <c r="K16" s="3"/>
      <c r="L16" s="3"/>
      <c r="M16" s="59"/>
    </row>
    <row r="17" spans="1:15" ht="30" x14ac:dyDescent="0.25">
      <c r="A17" s="60" t="s">
        <v>26</v>
      </c>
      <c r="B17" s="47"/>
      <c r="C17" s="110">
        <f>IF(G7&gt;H15,1,0)</f>
        <v>0</v>
      </c>
      <c r="D17" s="47"/>
      <c r="E17" s="61" t="s">
        <v>27</v>
      </c>
      <c r="F17" s="58"/>
      <c r="G17" s="58"/>
      <c r="H17" s="62"/>
      <c r="I17" s="128" t="s">
        <v>58</v>
      </c>
      <c r="J17" s="123"/>
      <c r="K17" s="123"/>
      <c r="L17" s="123"/>
      <c r="M17" s="124"/>
    </row>
    <row r="18" spans="1:15" ht="18.75" x14ac:dyDescent="0.3">
      <c r="A18" s="63" t="s">
        <v>29</v>
      </c>
      <c r="B18" s="64"/>
      <c r="C18" s="111"/>
      <c r="D18" s="64"/>
      <c r="E18" s="65"/>
      <c r="F18" s="66"/>
      <c r="G18" s="66"/>
      <c r="H18" s="67"/>
      <c r="I18" s="27" t="s">
        <v>28</v>
      </c>
      <c r="J18" s="68"/>
      <c r="K18" s="68"/>
      <c r="L18" s="68"/>
      <c r="M18" s="28"/>
    </row>
    <row r="19" spans="1:15" ht="49.5" customHeight="1" x14ac:dyDescent="0.25">
      <c r="A19" s="69" t="s">
        <v>30</v>
      </c>
      <c r="B19" s="47"/>
      <c r="C19" s="110">
        <f>F13+F15</f>
        <v>1.093126341413219E-2</v>
      </c>
      <c r="D19" s="43">
        <f>C19*(1/0.0353146662127)</f>
        <v>0.30953891361433983</v>
      </c>
      <c r="E19" s="70" t="s">
        <v>31</v>
      </c>
      <c r="F19" s="58"/>
      <c r="G19" s="58"/>
      <c r="H19" s="62"/>
      <c r="I19" s="34" t="s">
        <v>32</v>
      </c>
      <c r="J19" s="27"/>
      <c r="K19" s="27"/>
      <c r="M19" s="28"/>
    </row>
    <row r="20" spans="1:15" ht="32.25" customHeight="1" x14ac:dyDescent="0.25">
      <c r="A20" s="69" t="s">
        <v>33</v>
      </c>
      <c r="B20" s="47"/>
      <c r="C20" s="112">
        <f>C19-G7</f>
        <v>7.3944951714815946E-3</v>
      </c>
      <c r="D20" s="43">
        <f>C20*(1/0.0353146662127)</f>
        <v>0.20938878841285374</v>
      </c>
      <c r="E20" s="70" t="s">
        <v>31</v>
      </c>
      <c r="F20" s="71"/>
      <c r="G20" s="71"/>
      <c r="H20" s="41"/>
      <c r="I20" s="128" t="s">
        <v>34</v>
      </c>
      <c r="J20" s="129"/>
      <c r="K20" s="129"/>
      <c r="L20" s="129"/>
      <c r="M20" s="130"/>
    </row>
    <row r="21" spans="1:15" ht="32.25" customHeight="1" x14ac:dyDescent="0.25">
      <c r="A21" s="69" t="s">
        <v>35</v>
      </c>
      <c r="B21" s="47"/>
      <c r="C21" s="112">
        <f>H8*B10</f>
        <v>2.1805555555555554E-3</v>
      </c>
      <c r="D21" s="16"/>
      <c r="E21" s="72"/>
      <c r="F21" s="71"/>
      <c r="G21" s="71"/>
      <c r="H21" s="41"/>
      <c r="I21" s="26" t="s">
        <v>36</v>
      </c>
      <c r="J21" s="27"/>
      <c r="K21" s="27"/>
      <c r="M21" s="28"/>
    </row>
    <row r="22" spans="1:15" ht="32.25" customHeight="1" x14ac:dyDescent="0.25">
      <c r="A22" s="69" t="s">
        <v>37</v>
      </c>
      <c r="B22" s="47"/>
      <c r="C22" s="112">
        <f>IF(C20&lt;0,ABS(C20)*B11,0)</f>
        <v>0</v>
      </c>
      <c r="D22" s="16"/>
      <c r="E22" s="22"/>
      <c r="F22" s="23"/>
      <c r="G22" s="23"/>
      <c r="H22" s="23"/>
      <c r="I22" s="26"/>
      <c r="J22" s="27"/>
      <c r="K22" s="27"/>
      <c r="M22" s="28"/>
    </row>
    <row r="23" spans="1:15" ht="21" customHeight="1" x14ac:dyDescent="0.25">
      <c r="A23" s="14" t="s">
        <v>64</v>
      </c>
      <c r="B23" s="16"/>
      <c r="C23" s="113">
        <f>IF($B$10 = 0,$G$10,$H$10)</f>
        <v>0.16214122717534227</v>
      </c>
      <c r="D23" s="16"/>
      <c r="E23" s="73" t="s">
        <v>38</v>
      </c>
      <c r="F23" s="71"/>
      <c r="G23" s="71"/>
      <c r="H23" s="41"/>
      <c r="I23" s="128" t="s">
        <v>65</v>
      </c>
      <c r="J23" s="123"/>
      <c r="K23" s="123"/>
      <c r="L23" s="123"/>
      <c r="M23" s="124"/>
    </row>
    <row r="24" spans="1:15" s="84" customFormat="1" ht="40.5" customHeight="1" x14ac:dyDescent="0.35">
      <c r="A24" s="84" t="s">
        <v>63</v>
      </c>
      <c r="B24" s="85"/>
      <c r="C24" s="114">
        <f>IF($B$10 = 0,$G$11,$H$11)</f>
        <v>0.15120996376121007</v>
      </c>
      <c r="D24" s="85"/>
      <c r="E24" s="86"/>
      <c r="F24" s="87"/>
      <c r="G24" s="87"/>
      <c r="H24" s="87"/>
      <c r="I24" s="128" t="s">
        <v>60</v>
      </c>
      <c r="J24" s="123"/>
      <c r="K24" s="123"/>
      <c r="L24" s="123"/>
      <c r="M24" s="124"/>
      <c r="N24" s="34"/>
      <c r="O24" s="34"/>
    </row>
    <row r="25" spans="1:15" s="84" customFormat="1" ht="42.75" customHeight="1" x14ac:dyDescent="0.35">
      <c r="A25" s="88" t="s">
        <v>39</v>
      </c>
      <c r="B25" s="89"/>
      <c r="C25" s="115" t="str">
        <f>IF($C$17=0,"NA",($H$6/2)*(2/$C$24))</f>
        <v>NA</v>
      </c>
      <c r="D25" s="89"/>
      <c r="E25" s="90" t="s">
        <v>40</v>
      </c>
      <c r="F25" s="87"/>
      <c r="G25" s="87"/>
      <c r="H25" s="87"/>
      <c r="I25" s="137" t="s">
        <v>59</v>
      </c>
      <c r="J25" s="138"/>
      <c r="K25" s="138"/>
      <c r="L25" s="138"/>
      <c r="M25" s="139"/>
      <c r="N25" s="34"/>
      <c r="O25" s="34"/>
    </row>
    <row r="26" spans="1:15" s="84" customFormat="1" ht="42.75" customHeight="1" x14ac:dyDescent="0.35">
      <c r="A26" s="91" t="s">
        <v>41</v>
      </c>
      <c r="B26" s="92"/>
      <c r="C26" s="116" t="str">
        <f>IF(($B$11&gt;$C$25),$B$11,$C$25)</f>
        <v>NA</v>
      </c>
      <c r="D26" s="92"/>
      <c r="E26" s="93" t="s">
        <v>42</v>
      </c>
      <c r="F26" s="94"/>
      <c r="G26" s="94"/>
      <c r="H26" s="95"/>
      <c r="I26" s="107"/>
      <c r="J26" s="107"/>
      <c r="K26" s="107"/>
      <c r="L26" s="107"/>
      <c r="M26" s="108"/>
      <c r="N26" s="34"/>
      <c r="O26" s="34"/>
    </row>
    <row r="27" spans="1:15" s="74" customFormat="1" ht="32.25" customHeight="1" x14ac:dyDescent="0.25">
      <c r="A27" s="74" t="s">
        <v>45</v>
      </c>
      <c r="C27" s="75">
        <f>($B$13*$B$14)+($B$15*$B$16)</f>
        <v>120</v>
      </c>
      <c r="E27" s="76" t="s">
        <v>46</v>
      </c>
      <c r="F27" s="77"/>
      <c r="G27" s="77"/>
      <c r="H27" s="77"/>
      <c r="I27" s="131" t="s">
        <v>66</v>
      </c>
      <c r="J27" s="132"/>
      <c r="K27" s="132"/>
      <c r="L27" s="132"/>
      <c r="M27" s="133"/>
      <c r="N27" s="78"/>
      <c r="O27" s="78"/>
    </row>
    <row r="28" spans="1:15" s="79" customFormat="1" ht="32.25" customHeight="1" x14ac:dyDescent="0.25">
      <c r="A28" s="79" t="s">
        <v>47</v>
      </c>
      <c r="C28" s="79">
        <f>$C$27/$H$6</f>
        <v>12</v>
      </c>
      <c r="E28" s="80" t="s">
        <v>68</v>
      </c>
      <c r="F28" s="81"/>
      <c r="G28" s="81"/>
      <c r="H28" s="81"/>
      <c r="I28" s="134" t="s">
        <v>67</v>
      </c>
      <c r="J28" s="135"/>
      <c r="K28" s="135"/>
      <c r="L28" s="135"/>
      <c r="M28" s="136"/>
      <c r="N28" s="82"/>
      <c r="O28" s="82"/>
    </row>
    <row r="29" spans="1:15" x14ac:dyDescent="0.25">
      <c r="A29" s="31" t="s">
        <v>90</v>
      </c>
      <c r="C29" s="38">
        <f>IF($C$26&lt;$E$29,$E$30*$C$26,((($C$34-$E$29)*$F$30)+($E$29*$E$30)))</f>
        <v>0.88461538461538458</v>
      </c>
      <c r="D29" s="16"/>
      <c r="E29" s="102">
        <f>velocity!$E$11</f>
        <v>4.419223147183426</v>
      </c>
      <c r="F29" s="103">
        <f>velocity!$E$12</f>
        <v>38.299933942256366</v>
      </c>
      <c r="G29" s="103">
        <f>velocity!$E$15</f>
        <v>127.66644647418788</v>
      </c>
      <c r="H29" s="103">
        <f>velocity!$E$20</f>
        <v>272.13110958971629</v>
      </c>
      <c r="I29" s="34" t="s">
        <v>91</v>
      </c>
      <c r="M29" s="21"/>
    </row>
    <row r="30" spans="1:15" x14ac:dyDescent="0.25">
      <c r="D30" s="16"/>
      <c r="E30" s="104">
        <f>velocity!$D$11</f>
        <v>0.22628411526069822</v>
      </c>
      <c r="F30" s="105">
        <f>velocity!$D$12</f>
        <v>2.6109705607003639E-2</v>
      </c>
      <c r="G30" s="105">
        <f>velocity!$D$15</f>
        <v>7.8329116821010923E-3</v>
      </c>
      <c r="H30" s="105">
        <f>velocity!$D$20</f>
        <v>3.6746993076523637E-3</v>
      </c>
      <c r="I30" s="34" t="s">
        <v>98</v>
      </c>
      <c r="M30" s="28"/>
    </row>
    <row r="31" spans="1:15" s="2" customFormat="1" x14ac:dyDescent="0.25">
      <c r="D31" s="57"/>
      <c r="E31" s="3"/>
      <c r="F31" s="4"/>
      <c r="G31" s="4"/>
      <c r="H31" s="4"/>
      <c r="I31" s="3"/>
      <c r="J31" s="3"/>
      <c r="K31" s="3"/>
      <c r="L31" s="3"/>
      <c r="M31" s="59"/>
      <c r="N31" s="3"/>
      <c r="O31" s="3"/>
    </row>
    <row r="33" spans="1:1" x14ac:dyDescent="0.25">
      <c r="A33" s="14" t="str">
        <f ca="1">CELL("filename")</f>
        <v>D:\LOWFLOWPROGRAM\ARCHIVED_VERSIONS\[vbaprogram6.0.1_BETA_forward1.xlsm]INPUTSHEET (solver)</v>
      </c>
    </row>
    <row r="34" spans="1:1" x14ac:dyDescent="0.25">
      <c r="A34" s="14" t="s">
        <v>43</v>
      </c>
    </row>
    <row r="35" spans="1:1" x14ac:dyDescent="0.25">
      <c r="A35" s="14" t="s">
        <v>44</v>
      </c>
    </row>
  </sheetData>
  <dataConsolidate/>
  <mergeCells count="9">
    <mergeCell ref="I11:M11"/>
    <mergeCell ref="I10:M10"/>
    <mergeCell ref="I20:M20"/>
    <mergeCell ref="I27:M27"/>
    <mergeCell ref="I28:M28"/>
    <mergeCell ref="I24:M24"/>
    <mergeCell ref="I25:M25"/>
    <mergeCell ref="I23:M23"/>
    <mergeCell ref="I17:M17"/>
  </mergeCells>
  <pageMargins left="0.7" right="0.7" top="0.75" bottom="0.75" header="0.3" footer="0.3"/>
  <pageSetup scale="4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O11"/>
  <sheetViews>
    <sheetView topLeftCell="C74" zoomScale="68" zoomScaleNormal="68" workbookViewId="0">
      <selection activeCell="U53" sqref="U53"/>
    </sheetView>
  </sheetViews>
  <sheetFormatPr defaultRowHeight="15" x14ac:dyDescent="0.25"/>
  <cols>
    <col min="1" max="1" width="9.140625" style="99"/>
    <col min="2" max="2" width="11.85546875" style="100" customWidth="1"/>
    <col min="3" max="3" width="10.85546875" style="100" customWidth="1"/>
    <col min="4" max="7" width="9.140625" style="100"/>
    <col min="8" max="8" width="10.5703125" style="100" customWidth="1"/>
    <col min="9" max="9" width="9.140625" style="101"/>
  </cols>
  <sheetData>
    <row r="1" spans="1:15" x14ac:dyDescent="0.25">
      <c r="A1" s="96">
        <v>1</v>
      </c>
      <c r="B1" s="97">
        <v>1.0611304727951784E-3</v>
      </c>
      <c r="C1" s="97">
        <v>1.0611304727951784E-3</v>
      </c>
      <c r="D1" s="97">
        <v>10.274681631805567</v>
      </c>
      <c r="E1" s="97">
        <v>10.274681631805567</v>
      </c>
      <c r="F1" s="97">
        <v>22.261810202245396</v>
      </c>
      <c r="G1" s="97">
        <v>0</v>
      </c>
      <c r="H1" s="97">
        <v>3.1833914183855344E-3</v>
      </c>
      <c r="I1" s="98">
        <v>0.29999999999999993</v>
      </c>
      <c r="K1" t="s">
        <v>77</v>
      </c>
    </row>
    <row r="2" spans="1:15" x14ac:dyDescent="0.25">
      <c r="A2" s="99">
        <v>2</v>
      </c>
      <c r="B2" s="100">
        <v>1.0611304727951782E-3</v>
      </c>
      <c r="C2" s="100">
        <v>2.1222609455903568E-3</v>
      </c>
      <c r="D2" s="100">
        <v>10.274681631805567</v>
      </c>
      <c r="E2" s="100">
        <v>20.549363263611134</v>
      </c>
      <c r="F2" s="100">
        <v>11.987128570439829</v>
      </c>
      <c r="G2" s="100">
        <v>10</v>
      </c>
      <c r="H2" s="100">
        <v>6.3667828367710696E-3</v>
      </c>
      <c r="I2" s="101">
        <v>0.59999999999999987</v>
      </c>
    </row>
    <row r="3" spans="1:15" x14ac:dyDescent="0.25">
      <c r="A3" s="99">
        <v>3</v>
      </c>
      <c r="B3" s="100">
        <v>1.0611304727951782E-3</v>
      </c>
      <c r="C3" s="100">
        <v>3.1833914183855352E-3</v>
      </c>
      <c r="D3" s="100">
        <v>6.8497877545370445</v>
      </c>
      <c r="E3" s="100">
        <v>27.399151018148178</v>
      </c>
      <c r="F3" s="100">
        <v>5.1373408159027854</v>
      </c>
      <c r="G3" s="100">
        <v>20</v>
      </c>
      <c r="H3" s="100">
        <v>8.4890437823614256E-3</v>
      </c>
      <c r="I3" s="101">
        <v>0.79999999999999982</v>
      </c>
    </row>
    <row r="4" spans="1:15" x14ac:dyDescent="0.25">
      <c r="A4" s="99">
        <v>4</v>
      </c>
      <c r="B4" s="100">
        <v>1.0611304727951782E-3</v>
      </c>
      <c r="C4" s="100">
        <v>4.2445218911807137E-3</v>
      </c>
      <c r="D4" s="100">
        <v>5.1373408159027836</v>
      </c>
      <c r="E4" s="100">
        <v>32.536491834050963</v>
      </c>
      <c r="F4" s="100">
        <v>0</v>
      </c>
      <c r="G4" s="100">
        <v>30</v>
      </c>
      <c r="H4" s="100">
        <v>1.0611304727951784E-2</v>
      </c>
      <c r="I4" s="101">
        <v>1</v>
      </c>
    </row>
    <row r="5" spans="1:15" x14ac:dyDescent="0.25">
      <c r="A5" s="99">
        <v>5</v>
      </c>
      <c r="B5" s="100">
        <v>1.0611304727951782E-3</v>
      </c>
    </row>
    <row r="6" spans="1:15" x14ac:dyDescent="0.25">
      <c r="A6" s="99">
        <v>6</v>
      </c>
      <c r="B6" s="100">
        <v>1.0611304727951782E-3</v>
      </c>
      <c r="C6" s="100">
        <v>5.3056523639758912E-3</v>
      </c>
      <c r="D6" s="100">
        <v>4.1098726527222276</v>
      </c>
      <c r="E6" s="100">
        <v>36.646364486773194</v>
      </c>
      <c r="F6" s="100">
        <v>0</v>
      </c>
    </row>
    <row r="7" spans="1:15" x14ac:dyDescent="0.25">
      <c r="A7" s="99">
        <v>7</v>
      </c>
      <c r="B7" s="100">
        <v>1.0611304727951782E-3</v>
      </c>
      <c r="C7" s="100">
        <v>4.2445218911807128E-3</v>
      </c>
      <c r="D7" s="100">
        <v>5.1373408159027845</v>
      </c>
      <c r="E7" s="100">
        <v>32.53649183405097</v>
      </c>
      <c r="F7" s="100">
        <v>4.109872652722224</v>
      </c>
    </row>
    <row r="8" spans="1:15" x14ac:dyDescent="0.25">
      <c r="A8" s="99">
        <v>8</v>
      </c>
      <c r="B8" s="100">
        <v>1.0611304727951782E-3</v>
      </c>
      <c r="C8" s="100">
        <v>3.1833914183855344E-3</v>
      </c>
      <c r="D8" s="100">
        <v>6.8497877545370471</v>
      </c>
      <c r="E8" s="100">
        <v>27.399151018148185</v>
      </c>
      <c r="F8" s="100">
        <v>9.2472134686250094</v>
      </c>
      <c r="J8">
        <f>SUM(D3:D8)</f>
        <v>28.084129793601889</v>
      </c>
      <c r="K8">
        <f>B8+C8</f>
        <v>4.2445218911807128E-3</v>
      </c>
      <c r="N8" t="s">
        <v>55</v>
      </c>
      <c r="O8">
        <f>3.14*(POWER((1/12),2))</f>
        <v>2.1805555555555554E-2</v>
      </c>
    </row>
    <row r="9" spans="1:15" x14ac:dyDescent="0.25">
      <c r="A9" s="99">
        <v>9</v>
      </c>
      <c r="B9" s="100">
        <v>1.0611304727951782E-3</v>
      </c>
      <c r="C9" s="100">
        <v>2.1222609455903564E-3</v>
      </c>
      <c r="D9" s="100">
        <v>10.274681631805569</v>
      </c>
      <c r="E9" s="100">
        <v>20.549363263611138</v>
      </c>
      <c r="F9" s="100">
        <v>16.097001223162057</v>
      </c>
    </row>
    <row r="10" spans="1:15" x14ac:dyDescent="0.25">
      <c r="A10" s="99">
        <v>10</v>
      </c>
      <c r="B10" s="100">
        <v>1.0611304727951782E-3</v>
      </c>
      <c r="C10" s="100">
        <v>1.0611304727951782E-3</v>
      </c>
      <c r="D10" s="100">
        <v>10.274681631805569</v>
      </c>
      <c r="E10" s="100">
        <v>10.274681631805569</v>
      </c>
      <c r="F10" s="100">
        <v>26.371682854967624</v>
      </c>
      <c r="J10">
        <f>SUM(D10:D19)</f>
        <v>10.274681631805569</v>
      </c>
      <c r="L10" t="s">
        <v>74</v>
      </c>
      <c r="M10" t="s">
        <v>75</v>
      </c>
      <c r="N10" t="s">
        <v>76</v>
      </c>
    </row>
    <row r="11" spans="1:15" x14ac:dyDescent="0.25">
      <c r="L11">
        <f>K8+C11</f>
        <v>4.2445218911807128E-3</v>
      </c>
      <c r="M11">
        <f>B9+B10</f>
        <v>2.1222609455903564E-3</v>
      </c>
      <c r="N11">
        <f>L11+M11</f>
        <v>6.3667828367710688E-3</v>
      </c>
    </row>
  </sheetData>
  <pageMargins left="0.7" right="0.7" top="0.75" bottom="0.75" header="0.3" footer="0.3"/>
  <pageSetup scale="3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1"/>
  <sheetViews>
    <sheetView workbookViewId="0">
      <selection activeCell="E2" sqref="E2"/>
    </sheetView>
  </sheetViews>
  <sheetFormatPr defaultRowHeight="15" x14ac:dyDescent="0.25"/>
  <cols>
    <col min="3" max="3" width="12" bestFit="1" customWidth="1"/>
  </cols>
  <sheetData>
    <row r="1" spans="1:13" x14ac:dyDescent="0.25">
      <c r="E1" t="s">
        <v>56</v>
      </c>
      <c r="F1" t="s">
        <v>57</v>
      </c>
    </row>
    <row r="2" spans="1:13" x14ac:dyDescent="0.25">
      <c r="A2">
        <v>1</v>
      </c>
      <c r="B2">
        <v>1.804984868746333E-3</v>
      </c>
      <c r="C2">
        <v>1.804984868746333E-3</v>
      </c>
      <c r="E2">
        <f>1/( $C2/$J$2)</f>
        <v>12.080741469428927</v>
      </c>
      <c r="I2" t="s">
        <v>55</v>
      </c>
      <c r="J2">
        <f>3.14*(POWER((1/12),2))</f>
        <v>2.1805555555555554E-2</v>
      </c>
    </row>
    <row r="3" spans="1:13" x14ac:dyDescent="0.25">
      <c r="A3">
        <v>2</v>
      </c>
      <c r="B3">
        <v>9.1093861784434914E-5</v>
      </c>
      <c r="C3">
        <v>1.8960787305307679E-3</v>
      </c>
      <c r="E3">
        <f t="shared" ref="E3:E9" si="0">1/( $C3/$J$2)</f>
        <v>11.500342894227574</v>
      </c>
    </row>
    <row r="4" spans="1:13" x14ac:dyDescent="0.25">
      <c r="A4">
        <v>3</v>
      </c>
      <c r="B4">
        <v>9.1093861784434914E-5</v>
      </c>
      <c r="C4">
        <v>1.9871725923152027E-3</v>
      </c>
      <c r="E4">
        <f t="shared" si="0"/>
        <v>10.973156352841235</v>
      </c>
    </row>
    <row r="5" spans="1:13" x14ac:dyDescent="0.25">
      <c r="A5">
        <v>4</v>
      </c>
      <c r="B5">
        <v>9.1093861784434914E-5</v>
      </c>
      <c r="C5">
        <v>2.0782664540996377E-3</v>
      </c>
      <c r="E5">
        <f t="shared" si="0"/>
        <v>10.492184730471589</v>
      </c>
    </row>
    <row r="6" spans="1:13" x14ac:dyDescent="0.25">
      <c r="A6">
        <v>5</v>
      </c>
      <c r="B6">
        <v>9.1093861784434914E-5</v>
      </c>
      <c r="C6">
        <v>2.1693603158840728E-3</v>
      </c>
      <c r="E6">
        <f t="shared" si="0"/>
        <v>10.051606178971335</v>
      </c>
    </row>
    <row r="7" spans="1:13" x14ac:dyDescent="0.25">
      <c r="A7">
        <v>6</v>
      </c>
      <c r="B7">
        <v>9.1093861784434914E-5</v>
      </c>
      <c r="C7">
        <v>2.2604541776685078E-3</v>
      </c>
      <c r="E7">
        <f t="shared" si="0"/>
        <v>9.6465373069611964</v>
      </c>
    </row>
    <row r="8" spans="1:13" x14ac:dyDescent="0.25">
      <c r="A8">
        <v>7</v>
      </c>
      <c r="B8">
        <v>9.1093861784434914E-5</v>
      </c>
      <c r="C8">
        <v>2.3515480394529428E-3</v>
      </c>
      <c r="E8">
        <f t="shared" si="0"/>
        <v>9.2728514109489915</v>
      </c>
    </row>
    <row r="9" spans="1:13" x14ac:dyDescent="0.25">
      <c r="A9">
        <v>8</v>
      </c>
      <c r="B9">
        <v>9.1093861784434914E-5</v>
      </c>
      <c r="C9">
        <v>2.4426419012373779E-3</v>
      </c>
      <c r="E9">
        <f t="shared" si="0"/>
        <v>8.9270373788763049</v>
      </c>
      <c r="F9" s="83">
        <f xml:space="preserve"> SUM(E2:E9)</f>
        <v>82.944457722727151</v>
      </c>
    </row>
    <row r="10" spans="1:13" x14ac:dyDescent="0.25">
      <c r="A10">
        <v>9</v>
      </c>
      <c r="B10">
        <v>9.1093861784434914E-5</v>
      </c>
      <c r="C10" t="s">
        <v>48</v>
      </c>
      <c r="G10" t="s">
        <v>49</v>
      </c>
      <c r="H10" t="s">
        <v>50</v>
      </c>
      <c r="I10" t="s">
        <v>53</v>
      </c>
      <c r="J10" t="s">
        <v>51</v>
      </c>
      <c r="K10" t="s">
        <v>52</v>
      </c>
      <c r="M10" t="s">
        <v>54</v>
      </c>
    </row>
    <row r="11" spans="1:13" x14ac:dyDescent="0.25">
      <c r="A11">
        <v>10</v>
      </c>
      <c r="B11">
        <v>9.1093861784434914E-5</v>
      </c>
      <c r="C11" t="s">
        <v>48</v>
      </c>
      <c r="G11">
        <v>3.5367682426505958E-3</v>
      </c>
      <c r="H11">
        <f xml:space="preserve"> SUM(B10:B11)</f>
        <v>1.8218772356886983E-4</v>
      </c>
      <c r="I11">
        <f xml:space="preserve"> G11-H11</f>
        <v>3.3545805190817262E-3</v>
      </c>
      <c r="J11">
        <v>2.4426419012373779E-3</v>
      </c>
      <c r="K11">
        <v>9.1093861784434917E-4</v>
      </c>
      <c r="M11">
        <f xml:space="preserve"> I11 - (J11+K11)</f>
        <v>9.9999999999926537E-7</v>
      </c>
    </row>
    <row r="12" spans="1:13" x14ac:dyDescent="0.25">
      <c r="A12">
        <v>11</v>
      </c>
      <c r="B12">
        <v>9.1093861784434914E-5</v>
      </c>
      <c r="C12">
        <f>$D$12</f>
        <v>9.1093861784434917E-4</v>
      </c>
      <c r="D12">
        <f>SUM(B12:B21)</f>
        <v>9.1093861784434917E-4</v>
      </c>
      <c r="E12">
        <f t="shared" ref="E12:E20" si="1">1/( $C12/$J$2)</f>
        <v>23.937458713910228</v>
      </c>
      <c r="F12">
        <f xml:space="preserve"> SUM(E12:E21)</f>
        <v>701.1205665371881</v>
      </c>
    </row>
    <row r="13" spans="1:13" x14ac:dyDescent="0.25">
      <c r="A13">
        <v>12</v>
      </c>
      <c r="B13">
        <v>9.1093861784434914E-5</v>
      </c>
      <c r="C13">
        <f>SUM($B12:$B$20)</f>
        <v>8.1984475605991424E-4</v>
      </c>
      <c r="E13">
        <f t="shared" si="1"/>
        <v>26.597176348789141</v>
      </c>
    </row>
    <row r="14" spans="1:13" x14ac:dyDescent="0.25">
      <c r="A14">
        <v>13</v>
      </c>
      <c r="B14">
        <v>9.1093861784434914E-5</v>
      </c>
      <c r="C14">
        <f>SUM($B13:$B$20)</f>
        <v>7.2875089427547931E-4</v>
      </c>
      <c r="E14">
        <f t="shared" si="1"/>
        <v>29.921823392387786</v>
      </c>
    </row>
    <row r="15" spans="1:13" x14ac:dyDescent="0.25">
      <c r="A15">
        <v>14</v>
      </c>
      <c r="B15">
        <v>9.1093861784434914E-5</v>
      </c>
      <c r="C15">
        <f>SUM($B14:$B$20)</f>
        <v>6.3765703249104438E-4</v>
      </c>
      <c r="E15">
        <f t="shared" si="1"/>
        <v>34.196369591300325</v>
      </c>
    </row>
    <row r="16" spans="1:13" x14ac:dyDescent="0.25">
      <c r="A16">
        <v>15</v>
      </c>
      <c r="B16">
        <v>9.1093861784434914E-5</v>
      </c>
      <c r="C16">
        <f>SUM($B15:$B$20)</f>
        <v>5.4656317070660946E-4</v>
      </c>
      <c r="E16">
        <f t="shared" si="1"/>
        <v>39.895764523183715</v>
      </c>
    </row>
    <row r="17" spans="1:5" x14ac:dyDescent="0.25">
      <c r="A17">
        <v>16</v>
      </c>
      <c r="B17">
        <v>9.1093861784434914E-5</v>
      </c>
      <c r="C17">
        <f>SUM($B16:$B$20)</f>
        <v>4.5546930892217458E-4</v>
      </c>
      <c r="E17">
        <f t="shared" si="1"/>
        <v>47.874917427820456</v>
      </c>
    </row>
    <row r="18" spans="1:5" x14ac:dyDescent="0.25">
      <c r="A18">
        <v>17</v>
      </c>
      <c r="B18">
        <v>9.1093861784434914E-5</v>
      </c>
      <c r="C18">
        <f>SUM($B17:$B$20)</f>
        <v>3.6437544713773966E-4</v>
      </c>
      <c r="E18">
        <f t="shared" si="1"/>
        <v>59.843646784775572</v>
      </c>
    </row>
    <row r="19" spans="1:5" x14ac:dyDescent="0.25">
      <c r="A19">
        <v>18</v>
      </c>
      <c r="B19">
        <v>9.1093861784434914E-5</v>
      </c>
      <c r="C19">
        <f>SUM($B18:$B$20)</f>
        <v>2.7328158535330473E-4</v>
      </c>
      <c r="E19">
        <f t="shared" si="1"/>
        <v>79.79152904636743</v>
      </c>
    </row>
    <row r="20" spans="1:5" x14ac:dyDescent="0.25">
      <c r="A20">
        <v>19</v>
      </c>
      <c r="B20">
        <v>9.1093861784434914E-5</v>
      </c>
      <c r="C20">
        <f>SUM($B19:$B$20)</f>
        <v>1.8218772356886983E-4</v>
      </c>
      <c r="E20">
        <f t="shared" si="1"/>
        <v>119.68729356955114</v>
      </c>
    </row>
    <row r="21" spans="1:5" x14ac:dyDescent="0.25">
      <c r="A21">
        <v>20</v>
      </c>
      <c r="B21">
        <v>9.1093861784434914E-5</v>
      </c>
      <c r="C21">
        <f xml:space="preserve"> B21</f>
        <v>9.1093861784434914E-5</v>
      </c>
      <c r="E21">
        <f>1/( $C21/$J$2)</f>
        <v>239.37458713910229</v>
      </c>
    </row>
  </sheetData>
  <pageMargins left="0.7" right="0.7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opLeftCell="A16" workbookViewId="0">
      <selection activeCell="I36" sqref="I36"/>
    </sheetView>
  </sheetViews>
  <sheetFormatPr defaultRowHeight="15" x14ac:dyDescent="0.25"/>
  <sheetData>
    <row r="1" spans="1:5" x14ac:dyDescent="0.25">
      <c r="A1" t="s">
        <v>92</v>
      </c>
    </row>
    <row r="3" spans="1:5" x14ac:dyDescent="0.25">
      <c r="A3" t="s">
        <v>83</v>
      </c>
      <c r="B3">
        <f>'INPUTSHEET (solver)'!$H$15</f>
        <v>1.093126341413219E-2</v>
      </c>
    </row>
    <row r="4" spans="1:5" x14ac:dyDescent="0.25">
      <c r="A4" t="s">
        <v>89</v>
      </c>
      <c r="B4">
        <v>0.25</v>
      </c>
    </row>
    <row r="5" spans="1:5" x14ac:dyDescent="0.25">
      <c r="A5" t="s">
        <v>93</v>
      </c>
      <c r="B5">
        <f>'INPUTSHEET (solver)'!$E$8</f>
        <v>8.3333333333333329E-2</v>
      </c>
    </row>
    <row r="6" spans="1:5" x14ac:dyDescent="0.25">
      <c r="A6" t="s">
        <v>84</v>
      </c>
    </row>
    <row r="7" spans="1:5" x14ac:dyDescent="0.25">
      <c r="C7" t="s">
        <v>88</v>
      </c>
      <c r="D7" t="s">
        <v>94</v>
      </c>
      <c r="E7" t="s">
        <v>96</v>
      </c>
    </row>
    <row r="8" spans="1:5" x14ac:dyDescent="0.25">
      <c r="A8" t="s">
        <v>85</v>
      </c>
      <c r="B8" t="s">
        <v>86</v>
      </c>
      <c r="C8" t="s">
        <v>87</v>
      </c>
      <c r="D8" t="s">
        <v>88</v>
      </c>
      <c r="E8" t="s">
        <v>97</v>
      </c>
    </row>
    <row r="9" spans="1:5" x14ac:dyDescent="0.25">
      <c r="B9" t="s">
        <v>95</v>
      </c>
      <c r="C9" t="s">
        <v>95</v>
      </c>
      <c r="D9" t="s">
        <v>95</v>
      </c>
    </row>
    <row r="10" spans="1:5" x14ac:dyDescent="0.25">
      <c r="A10" t="s">
        <v>93</v>
      </c>
      <c r="B10">
        <f>$B$3/((4*0.314)*$B$5)</f>
        <v>0.10443882242801457</v>
      </c>
      <c r="C10">
        <f>$B10/$B$4</f>
        <v>0.41775528971205828</v>
      </c>
    </row>
    <row r="11" spans="1:5" x14ac:dyDescent="0.25">
      <c r="A11">
        <v>1</v>
      </c>
      <c r="B11">
        <f>$B$3/((4*0.314)*$A11)</f>
        <v>8.7032352023345468E-3</v>
      </c>
      <c r="C11">
        <f>$B11/$B$4</f>
        <v>3.4812940809338187E-2</v>
      </c>
      <c r="D11">
        <f>AVERAGE(C10:C11)</f>
        <v>0.22628411526069822</v>
      </c>
      <c r="E11">
        <f>1/D11</f>
        <v>4.419223147183426</v>
      </c>
    </row>
    <row r="12" spans="1:5" x14ac:dyDescent="0.25">
      <c r="A12">
        <v>2</v>
      </c>
      <c r="B12">
        <f t="shared" ref="B12:B20" si="0">$B$3/((4*0.314)*$A12)</f>
        <v>4.3516176011672734E-3</v>
      </c>
      <c r="C12">
        <f t="shared" ref="C12:C20" si="1">$B12/$B$4</f>
        <v>1.7406470404669094E-2</v>
      </c>
      <c r="D12">
        <f t="shared" ref="D12:D20" si="2">AVERAGE(C11:C12)</f>
        <v>2.6109705607003639E-2</v>
      </c>
      <c r="E12">
        <f t="shared" ref="E12:E20" si="3">1/D12</f>
        <v>38.299933942256366</v>
      </c>
    </row>
    <row r="13" spans="1:5" x14ac:dyDescent="0.25">
      <c r="A13">
        <v>3</v>
      </c>
      <c r="B13">
        <f t="shared" si="0"/>
        <v>2.9010784007781824E-3</v>
      </c>
      <c r="C13">
        <f t="shared" si="1"/>
        <v>1.160431360311273E-2</v>
      </c>
      <c r="D13">
        <f t="shared" si="2"/>
        <v>1.4505392003890911E-2</v>
      </c>
      <c r="E13">
        <f t="shared" si="3"/>
        <v>68.939881096061455</v>
      </c>
    </row>
    <row r="14" spans="1:5" x14ac:dyDescent="0.25">
      <c r="A14">
        <v>4</v>
      </c>
      <c r="B14">
        <f t="shared" si="0"/>
        <v>2.1758088005836367E-3</v>
      </c>
      <c r="C14">
        <f t="shared" si="1"/>
        <v>8.7032352023345468E-3</v>
      </c>
      <c r="D14">
        <f t="shared" si="2"/>
        <v>1.0153774402723638E-2</v>
      </c>
      <c r="E14">
        <f t="shared" si="3"/>
        <v>98.485544422944926</v>
      </c>
    </row>
    <row r="15" spans="1:5" x14ac:dyDescent="0.25">
      <c r="A15">
        <v>5</v>
      </c>
      <c r="B15">
        <f t="shared" si="0"/>
        <v>1.7406470404669092E-3</v>
      </c>
      <c r="C15">
        <f t="shared" si="1"/>
        <v>6.9625881618676369E-3</v>
      </c>
      <c r="D15">
        <f t="shared" si="2"/>
        <v>7.8329116821010923E-3</v>
      </c>
      <c r="E15">
        <f t="shared" si="3"/>
        <v>127.66644647418788</v>
      </c>
    </row>
    <row r="16" spans="1:5" x14ac:dyDescent="0.25">
      <c r="A16">
        <v>6</v>
      </c>
      <c r="B16">
        <f t="shared" si="0"/>
        <v>1.4505392003890912E-3</v>
      </c>
      <c r="C16">
        <f t="shared" si="1"/>
        <v>5.8021568015563648E-3</v>
      </c>
      <c r="D16">
        <f t="shared" si="2"/>
        <v>6.3823724817120009E-3</v>
      </c>
      <c r="E16">
        <f t="shared" si="3"/>
        <v>156.68154794559422</v>
      </c>
    </row>
    <row r="17" spans="1:5" x14ac:dyDescent="0.25">
      <c r="A17">
        <v>7</v>
      </c>
      <c r="B17">
        <f t="shared" si="0"/>
        <v>1.243319314619221E-3</v>
      </c>
      <c r="C17">
        <f t="shared" si="1"/>
        <v>4.9732772584768839E-3</v>
      </c>
      <c r="D17">
        <f t="shared" si="2"/>
        <v>5.3877170300166248E-3</v>
      </c>
      <c r="E17">
        <f t="shared" si="3"/>
        <v>185.60737218170388</v>
      </c>
    </row>
    <row r="18" spans="1:5" x14ac:dyDescent="0.25">
      <c r="A18">
        <v>8</v>
      </c>
      <c r="B18">
        <f t="shared" si="0"/>
        <v>1.0879044002918184E-3</v>
      </c>
      <c r="C18">
        <f t="shared" si="1"/>
        <v>4.3516176011672734E-3</v>
      </c>
      <c r="D18">
        <f t="shared" si="2"/>
        <v>4.6624474298220791E-3</v>
      </c>
      <c r="E18">
        <f t="shared" si="3"/>
        <v>214.4796300766356</v>
      </c>
    </row>
    <row r="19" spans="1:5" x14ac:dyDescent="0.25">
      <c r="A19">
        <v>9</v>
      </c>
      <c r="B19">
        <f t="shared" si="0"/>
        <v>9.6702613359272733E-4</v>
      </c>
      <c r="C19">
        <f t="shared" si="1"/>
        <v>3.8681045343709093E-3</v>
      </c>
      <c r="D19">
        <f t="shared" si="2"/>
        <v>4.1098610677690918E-3</v>
      </c>
      <c r="E19">
        <f t="shared" si="3"/>
        <v>243.31722739786395</v>
      </c>
    </row>
    <row r="20" spans="1:5" x14ac:dyDescent="0.25">
      <c r="A20">
        <v>10</v>
      </c>
      <c r="B20">
        <f t="shared" si="0"/>
        <v>8.7032352023345462E-4</v>
      </c>
      <c r="C20">
        <f t="shared" si="1"/>
        <v>3.4812940809338185E-3</v>
      </c>
      <c r="D20">
        <f t="shared" si="2"/>
        <v>3.6746993076523637E-3</v>
      </c>
      <c r="E20">
        <f t="shared" si="3"/>
        <v>272.13110958971629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3"/>
  <sheetViews>
    <sheetView workbookViewId="0">
      <selection activeCell="C14" sqref="C14"/>
    </sheetView>
  </sheetViews>
  <sheetFormatPr defaultRowHeight="15" x14ac:dyDescent="0.25"/>
  <sheetData>
    <row r="2" spans="1:2" x14ac:dyDescent="0.25">
      <c r="A2" t="s">
        <v>79</v>
      </c>
      <c r="B2" t="s">
        <v>80</v>
      </c>
    </row>
    <row r="3" spans="1:2" x14ac:dyDescent="0.25">
      <c r="A3" t="s">
        <v>81</v>
      </c>
      <c r="B3" t="s">
        <v>82</v>
      </c>
    </row>
    <row r="4" spans="1:2" x14ac:dyDescent="0.25">
      <c r="A4">
        <v>0</v>
      </c>
      <c r="B4">
        <v>315</v>
      </c>
    </row>
    <row r="5" spans="1:2" x14ac:dyDescent="0.25">
      <c r="A5">
        <v>5</v>
      </c>
      <c r="B5">
        <v>259</v>
      </c>
    </row>
    <row r="6" spans="1:2" x14ac:dyDescent="0.25">
      <c r="A6">
        <v>10</v>
      </c>
      <c r="B6">
        <v>218</v>
      </c>
    </row>
    <row r="7" spans="1:2" x14ac:dyDescent="0.25">
      <c r="A7">
        <v>15</v>
      </c>
      <c r="B7">
        <v>211</v>
      </c>
    </row>
    <row r="8" spans="1:2" x14ac:dyDescent="0.25">
      <c r="A8">
        <v>20</v>
      </c>
      <c r="B8">
        <v>209</v>
      </c>
    </row>
    <row r="9" spans="1:2" x14ac:dyDescent="0.25">
      <c r="A9">
        <v>25</v>
      </c>
      <c r="B9">
        <v>210</v>
      </c>
    </row>
    <row r="10" spans="1:2" x14ac:dyDescent="0.25">
      <c r="A10">
        <v>30</v>
      </c>
      <c r="B10">
        <v>212</v>
      </c>
    </row>
    <row r="11" spans="1:2" x14ac:dyDescent="0.25">
      <c r="A11">
        <v>35</v>
      </c>
      <c r="B11">
        <v>212</v>
      </c>
    </row>
    <row r="12" spans="1:2" x14ac:dyDescent="0.25">
      <c r="A12">
        <v>40</v>
      </c>
      <c r="B12">
        <v>211</v>
      </c>
    </row>
    <row r="13" spans="1:2" x14ac:dyDescent="0.25">
      <c r="A13">
        <v>45</v>
      </c>
      <c r="B13">
        <v>211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7" zoomScale="89" zoomScaleNormal="89" workbookViewId="0">
      <selection activeCell="N42" sqref="N4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INPUTSHEET (solver)</vt:lpstr>
      <vt:lpstr>output</vt:lpstr>
      <vt:lpstr>Sheet3</vt:lpstr>
      <vt:lpstr>output (PROOF)</vt:lpstr>
      <vt:lpstr>velocity</vt:lpstr>
      <vt:lpstr>SCDATA</vt:lpstr>
      <vt:lpstr>figure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2017-03-22T14:41:46Z</dcterms:modified>
</cp:coreProperties>
</file>